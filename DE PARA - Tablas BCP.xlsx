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3e7ef66d0f8bdb/_Paraguay/_FIPYX S.A/Redes Social/_PowerBI files/Base BCP v2023/BCP_for_BI/"/>
    </mc:Choice>
  </mc:AlternateContent>
  <xr:revisionPtr revIDLastSave="161" documentId="8_{4EBF203E-6842-46A9-B6E7-CCD467719939}" xr6:coauthVersionLast="47" xr6:coauthVersionMax="47" xr10:uidLastSave="{CC276BC3-E733-4B7E-A67B-D1E470EA38D4}"/>
  <bookViews>
    <workbookView xWindow="-120" yWindow="-120" windowWidth="29040" windowHeight="15720" tabRatio="861" activeTab="1" xr2:uid="{BD4B07BB-DB7D-4623-9D9D-6D2583A2ECBF}"/>
  </bookViews>
  <sheets>
    <sheet name="DePara_EEFF - BG" sheetId="1" r:id="rId1"/>
    <sheet name="DePara_EEFF - ER" sheetId="2" r:id="rId2"/>
    <sheet name="DePara_EEFF - Consolidado" sheetId="3" r:id="rId3"/>
    <sheet name="DePara_Carteras" sheetId="4" r:id="rId4"/>
  </sheets>
  <definedNames>
    <definedName name="_xlnm._FilterDatabase" localSheetId="2" hidden="1">'DePara_EEFF - Consolidado'!$A$1:$D$98</definedName>
    <definedName name="_xlnm._FilterDatabase" localSheetId="1" hidden="1">'DePara_EEFF - ER'!$A$1:$D$50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2" l="1"/>
  <c r="E50" i="2"/>
  <c r="E49" i="2"/>
  <c r="E48" i="2"/>
  <c r="E47" i="2"/>
  <c r="E46" i="2"/>
  <c r="E45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5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8" i="3"/>
  <c r="E57" i="3"/>
  <c r="E56" i="3"/>
  <c r="E55" i="3"/>
  <c r="E54" i="3"/>
  <c r="E53" i="3"/>
  <c r="E52" i="3"/>
  <c r="E51" i="3"/>
  <c r="E50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<sst xmlns="http://schemas.openxmlformats.org/spreadsheetml/2006/main" count="837" uniqueCount="248">
  <si>
    <t>Administración de Cuentas Corrientes</t>
  </si>
  <si>
    <t>Bienes Realizados y adjudicados en pago</t>
  </si>
  <si>
    <t>Bienes de Uso</t>
  </si>
  <si>
    <t>Caja y Bancos</t>
  </si>
  <si>
    <t>Capital Integrado</t>
  </si>
  <si>
    <t>Constitución de Previsiones</t>
  </si>
  <si>
    <t>Créditos y Colocaciones Vencidos</t>
  </si>
  <si>
    <t>Cuenta Corriente-BCP</t>
  </si>
  <si>
    <t>Depósitos CDA</t>
  </si>
  <si>
    <t>Depósitos Cta. Cte.</t>
  </si>
  <si>
    <t>Depósitos a Plazo Fijo</t>
  </si>
  <si>
    <t>Depósitos a la Vista</t>
  </si>
  <si>
    <t>Depósitos por operaciones monetarias</t>
  </si>
  <si>
    <t>Desafectación de Previsiones</t>
  </si>
  <si>
    <t>Deudores con Arreglo y Créditos Morosos</t>
  </si>
  <si>
    <t>Difer. de Cotiz. De Val. Públicos y Priv.</t>
  </si>
  <si>
    <t>Egresos Diversos por Servicios</t>
  </si>
  <si>
    <t>Egresos Extraordinarios Netos</t>
  </si>
  <si>
    <t>Encaje</t>
  </si>
  <si>
    <t>Externo</t>
  </si>
  <si>
    <t>Ganancias Créd. Ven. p/ Inter. Finan.</t>
  </si>
  <si>
    <t>Ganancias Créd. Vig. p/ Inter. Finan. S.F.</t>
  </si>
  <si>
    <t>Ganancias Créd. Vig. p/ Inter. Finan. S.N.F.</t>
  </si>
  <si>
    <t>Ganancias por Oper. de Cambio y Arbitraje</t>
  </si>
  <si>
    <t>Ganancias por Valuación - Financiero</t>
  </si>
  <si>
    <t>Giros, transferencias y órdenes de pago</t>
  </si>
  <si>
    <t>Ingresos Extraordinarios Netos</t>
  </si>
  <si>
    <t>Interbancario</t>
  </si>
  <si>
    <t>Intereses Devengados</t>
  </si>
  <si>
    <t>Interno</t>
  </si>
  <si>
    <t>Líneas de Créditos Otorgados</t>
  </si>
  <si>
    <t>Operaciones a Liquidar - Pasivo</t>
  </si>
  <si>
    <t>Operaciones a Liquidar-Activo</t>
  </si>
  <si>
    <t>Otras Inversiones</t>
  </si>
  <si>
    <t>Otras Reservas</t>
  </si>
  <si>
    <t>Otros Activos Netos</t>
  </si>
  <si>
    <t>Otros BCP</t>
  </si>
  <si>
    <t>Otros GA</t>
  </si>
  <si>
    <t>Otros Ingresos Op. -Ganancias por Créditos Diversos</t>
  </si>
  <si>
    <t>Otros Ingresos por Servicios</t>
  </si>
  <si>
    <t>Otros Pasivos</t>
  </si>
  <si>
    <t>Otros valores emitidos</t>
  </si>
  <si>
    <t>Perd. Giros, transferencias y órdenes de pago</t>
  </si>
  <si>
    <t>Personal</t>
  </si>
  <si>
    <t>Previsiones sobre bienes adjudicados</t>
  </si>
  <si>
    <t>Productos Financieros Vencidos</t>
  </si>
  <si>
    <t>Productos Financieros Vigentes</t>
  </si>
  <si>
    <t>Propiedad</t>
  </si>
  <si>
    <t>Pérd. Oblig. Inter. Finan. S.F.</t>
  </si>
  <si>
    <t>Pérd. Oblig. Inter. Finan. S.N.F.</t>
  </si>
  <si>
    <t>Pérdidas por Operaciones de Cambio y Arbitrate</t>
  </si>
  <si>
    <t>Pérdidas por Valuación - Financiero</t>
  </si>
  <si>
    <t>Reserva Legal</t>
  </si>
  <si>
    <t>Resultados Acumulados</t>
  </si>
  <si>
    <t>Sector Financiero</t>
  </si>
  <si>
    <t>Sector No Financiero</t>
  </si>
  <si>
    <t>Tarjetas de Crédito</t>
  </si>
  <si>
    <t>Total Previsiones</t>
  </si>
  <si>
    <t>Utilidad del Ejercicio</t>
  </si>
  <si>
    <t>Valores Públicos</t>
  </si>
  <si>
    <t>Margen Financiero</t>
  </si>
  <si>
    <t>Margen Otros I&amp;E Operativos</t>
  </si>
  <si>
    <t>Margen por servicios</t>
  </si>
  <si>
    <t>Margen por Op. de Cambios y Arbitraje</t>
  </si>
  <si>
    <t>Margen por valuación</t>
  </si>
  <si>
    <t>RESULTADO ANTES DE PREVISIÓN</t>
  </si>
  <si>
    <t>UTILIDAD ANTES DE IMPUESTOS</t>
  </si>
  <si>
    <t>UTILIDAD A DISTRIBUIR</t>
  </si>
  <si>
    <t>Créditos Documentarios</t>
  </si>
  <si>
    <t>Ganancias por Valuación - Diversos</t>
  </si>
  <si>
    <t>Garantías Otorgadas</t>
  </si>
  <si>
    <t>Otros Ingresos Op. - Otras Ganancias Diversas</t>
  </si>
  <si>
    <t>Otros Ingresos Op. - Rentas</t>
  </si>
  <si>
    <t>Previsiones - Otras inversiones</t>
  </si>
  <si>
    <t>Pérdidas por Valuación - Diversos</t>
  </si>
  <si>
    <t>BCP - Pasivo</t>
  </si>
  <si>
    <t>Capital Secundario</t>
  </si>
  <si>
    <t>Impuestos</t>
  </si>
  <si>
    <t>Egresos por Operaciones - Con Valores Públicos Nacionales</t>
  </si>
  <si>
    <t>Margen Otros Valores</t>
  </si>
  <si>
    <t>Pérd. Diferencias de Cotiz. De Val. Públicos y Priv.</t>
  </si>
  <si>
    <t>Otros Contingentes</t>
  </si>
  <si>
    <t>Comisones pagadas a corres. En el Exterior</t>
  </si>
  <si>
    <t>Interbancarios</t>
  </si>
  <si>
    <t>Valores Privados</t>
  </si>
  <si>
    <t>Aceptaciones</t>
  </si>
  <si>
    <t>Aportes no Capitalizados</t>
  </si>
  <si>
    <t>Otros Ingresos Op. - Fideicomisos</t>
  </si>
  <si>
    <t>Pérdidas por Obligaciones Diversas</t>
  </si>
  <si>
    <t>Egresos por Operaciones - Con otros Valores Mobiliarios</t>
  </si>
  <si>
    <t>Ingresos por Operaciones - Con Valores Públicos Nacionales</t>
  </si>
  <si>
    <t>Ingresos por Operaciones - Con otros Valores Mobiliarios</t>
  </si>
  <si>
    <t>Egresos por Operaciones - Con Contratos Forward</t>
  </si>
  <si>
    <t>Ingresos por Operaciones - Con Contratos Forward</t>
  </si>
  <si>
    <t>Títulos de Inversión</t>
  </si>
  <si>
    <t>1.1.1.</t>
  </si>
  <si>
    <t>1.2.1.</t>
  </si>
  <si>
    <t>Encaje Legal</t>
  </si>
  <si>
    <t>1.2.2.</t>
  </si>
  <si>
    <t>Cuenta Corriente</t>
  </si>
  <si>
    <t>1.2.3.</t>
  </si>
  <si>
    <t>Depósitos por Op. Monetarias</t>
  </si>
  <si>
    <t>1.2.4.</t>
  </si>
  <si>
    <t>Otros - BCP</t>
  </si>
  <si>
    <t>1.3.1.</t>
  </si>
  <si>
    <t>1.3.2.</t>
  </si>
  <si>
    <t>1.4.1.</t>
  </si>
  <si>
    <t>1.4.3.</t>
  </si>
  <si>
    <t>1.4.4.</t>
  </si>
  <si>
    <t>Créditos y Coloc. Vencidos</t>
  </si>
  <si>
    <t>1.4.5.</t>
  </si>
  <si>
    <t>Deudores con Arreglo y Cred. Morosos</t>
  </si>
  <si>
    <t>1.4.6.</t>
  </si>
  <si>
    <t>1.5.1.</t>
  </si>
  <si>
    <t>Vigentes</t>
  </si>
  <si>
    <t>1.5.2.</t>
  </si>
  <si>
    <t>Vencidos</t>
  </si>
  <si>
    <t>1.6.1.</t>
  </si>
  <si>
    <t>Bienes Realizados y adj. en pago</t>
  </si>
  <si>
    <t>1.6.2.</t>
  </si>
  <si>
    <t>Prev. s/ bienes adjudicados</t>
  </si>
  <si>
    <t>1.6.3.</t>
  </si>
  <si>
    <t>Otras inversiones</t>
  </si>
  <si>
    <t>1.6.4.</t>
  </si>
  <si>
    <t>Previsiones</t>
  </si>
  <si>
    <t>1.7.1.</t>
  </si>
  <si>
    <t>1.8.1.</t>
  </si>
  <si>
    <t>Op. a Liquidar - Activo</t>
  </si>
  <si>
    <t>1.9.1.</t>
  </si>
  <si>
    <t>2.1.1.</t>
  </si>
  <si>
    <t>Cta. Cte.</t>
  </si>
  <si>
    <t>2.1.2.</t>
  </si>
  <si>
    <t>A la Vista</t>
  </si>
  <si>
    <t>2.1.3.</t>
  </si>
  <si>
    <t>Plazo Fijo</t>
  </si>
  <si>
    <t>2.1.4.</t>
  </si>
  <si>
    <t>CDA</t>
  </si>
  <si>
    <t>2.1.6.</t>
  </si>
  <si>
    <t>2.2.1.</t>
  </si>
  <si>
    <t>Otros Valores Emitidos</t>
  </si>
  <si>
    <t>2.3.1.</t>
  </si>
  <si>
    <t>2.4.1.</t>
  </si>
  <si>
    <t>Op. a Liquidar - Pasivo</t>
  </si>
  <si>
    <t>2.5.1.</t>
  </si>
  <si>
    <t>2.6.1.</t>
  </si>
  <si>
    <t>2.6.2.</t>
  </si>
  <si>
    <t>2.7.1.</t>
  </si>
  <si>
    <t>3.1.1.</t>
  </si>
  <si>
    <t>3.1.3.</t>
  </si>
  <si>
    <t>3.2.1.</t>
  </si>
  <si>
    <t>3.2.2.</t>
  </si>
  <si>
    <t>3.3.1.</t>
  </si>
  <si>
    <t>3.4.1.</t>
  </si>
  <si>
    <t>4.1.3.</t>
  </si>
  <si>
    <t>4.1.4.</t>
  </si>
  <si>
    <t>4.1.5.</t>
  </si>
  <si>
    <t>Líneas de créditos acordadas</t>
  </si>
  <si>
    <t>1.4.2.</t>
  </si>
  <si>
    <t>2.1.5.</t>
  </si>
  <si>
    <t>3.1.2.</t>
  </si>
  <si>
    <t>4.1.2.</t>
  </si>
  <si>
    <t>4.1.6.</t>
  </si>
  <si>
    <t>Otros</t>
  </si>
  <si>
    <t>FPX Código</t>
  </si>
  <si>
    <t>FPX Nombre Cuenta</t>
  </si>
  <si>
    <t>BCP Código</t>
  </si>
  <si>
    <t>BCP Nombre Cuenta</t>
  </si>
  <si>
    <t>Ganan. Créd. Vig. p/ Inter. Finan. S.F.</t>
  </si>
  <si>
    <t>1.1.2.</t>
  </si>
  <si>
    <t>Ganan. Créd. Vig. p/ Inter. Finan. S.N.F.</t>
  </si>
  <si>
    <t>1.1.3.</t>
  </si>
  <si>
    <t>Ganan. Créd. Ven. p/ Inter. Finan.</t>
  </si>
  <si>
    <t>1.1.5.</t>
  </si>
  <si>
    <t>Rentas y Difer. de Cotiz. De Val. Públicos y Priv.</t>
  </si>
  <si>
    <t>Giros, transfer. y órdenes de pago</t>
  </si>
  <si>
    <t>Admin. de Cuentas Corrientes</t>
  </si>
  <si>
    <t>1.2.5.</t>
  </si>
  <si>
    <t>Ganancias por Op. De C&amp;A</t>
  </si>
  <si>
    <t>1.4.7.</t>
  </si>
  <si>
    <t>Con Contratos Forward</t>
  </si>
  <si>
    <t>Ganancias por Créditos Diversos</t>
  </si>
  <si>
    <t>Otras Ganancias Diversas</t>
  </si>
  <si>
    <t>1.6.5.</t>
  </si>
  <si>
    <t>Fideicomisos</t>
  </si>
  <si>
    <t>10.1.1.</t>
  </si>
  <si>
    <t>Utilidad a Distribuir</t>
  </si>
  <si>
    <t>Diferencias de Cotiz. De Val. Públicos y Priv.</t>
  </si>
  <si>
    <t>2.2.3.</t>
  </si>
  <si>
    <t>Giros, Transfer. y Órdenes de Pago</t>
  </si>
  <si>
    <t>2.2.4.</t>
  </si>
  <si>
    <t>Pérdidas por Servicios - Diversos</t>
  </si>
  <si>
    <t>Pérdidas por Op. de C&amp;A</t>
  </si>
  <si>
    <t>2.4.5.</t>
  </si>
  <si>
    <t>2.5.2.</t>
  </si>
  <si>
    <t>Margen por Op. de C&amp;A</t>
  </si>
  <si>
    <t>3.1.4.</t>
  </si>
  <si>
    <t>Margen por Op. - Otros Valores</t>
  </si>
  <si>
    <t>3.1.5.</t>
  </si>
  <si>
    <t>3.1.6.</t>
  </si>
  <si>
    <t>Margen por Otros Ingresos Operat.</t>
  </si>
  <si>
    <t>4.1.1.</t>
  </si>
  <si>
    <t>5.1.1.</t>
  </si>
  <si>
    <t>Resultado antes de Prev.</t>
  </si>
  <si>
    <t>6.1.1.</t>
  </si>
  <si>
    <t>Ingresos Extraord. Netos</t>
  </si>
  <si>
    <t>6.1.2.</t>
  </si>
  <si>
    <t>Egresos Extraord. Netos</t>
  </si>
  <si>
    <t>7.1.1.</t>
  </si>
  <si>
    <t>8.1.1.</t>
  </si>
  <si>
    <t>Util. antes de los Imp.</t>
  </si>
  <si>
    <t>9.1.1.</t>
  </si>
  <si>
    <t>Con Valores Públicos Nac.</t>
  </si>
  <si>
    <t>Con otros Valores Mobiliarios</t>
  </si>
  <si>
    <t>Rentas</t>
  </si>
  <si>
    <t>Comisones pagad. a corres. En el Exterior</t>
  </si>
  <si>
    <t>2.4.2.</t>
  </si>
  <si>
    <t>2.4.4.</t>
  </si>
  <si>
    <t>Cartera Vigente</t>
  </si>
  <si>
    <t>Cartera Vigente Neta de Previsiones</t>
  </si>
  <si>
    <t>Renovados</t>
  </si>
  <si>
    <t>Refinanciados</t>
  </si>
  <si>
    <t>Reestructurados</t>
  </si>
  <si>
    <t>Cartera Vencida Neta de Previsiones</t>
  </si>
  <si>
    <t>Cartera Vencida</t>
  </si>
  <si>
    <t>Medidas transitorias</t>
  </si>
  <si>
    <t>Medida Excepcional COVID 19 - Vigente</t>
  </si>
  <si>
    <t>Medida Excepcional COVID 19 - Vencida</t>
  </si>
  <si>
    <t>1.1.1 Cartera Vigente</t>
  </si>
  <si>
    <t>1.1.2 Cartera Vencida</t>
  </si>
  <si>
    <t>1.2.1 Cartera Vigente Neta de Previsiones</t>
  </si>
  <si>
    <t>1.2.2 Cartera Vencida Neta de Previsiones</t>
  </si>
  <si>
    <t>1.3.1 Renovados</t>
  </si>
  <si>
    <t>1.3.2 Refinanciados</t>
  </si>
  <si>
    <t>1.3.3 Reestructurados</t>
  </si>
  <si>
    <t>1.4.1 Medidas transitorias</t>
  </si>
  <si>
    <t>1.5.1 Medida Excepcional COVID 19 - Vigente</t>
  </si>
  <si>
    <t>1.5.2 Medida Excepcional COVID 19 - Vencida</t>
  </si>
  <si>
    <t>2.1.1 Cta. Cte.</t>
  </si>
  <si>
    <t>2.1.2 A la Vista</t>
  </si>
  <si>
    <t>2.1.3 Plazo Fijo</t>
  </si>
  <si>
    <t>2.1.4 CDA</t>
  </si>
  <si>
    <t>2.1.5 Títulos de Inversión</t>
  </si>
  <si>
    <t>2.1.6 Intereses Devengados</t>
  </si>
  <si>
    <t>1.3.2</t>
  </si>
  <si>
    <t>1.3.2. Ganancias por Op. De C&amp;A no Resid.</t>
  </si>
  <si>
    <t>Ganancias por Oper. de Cambio y Arbitraje con no Resid.</t>
  </si>
  <si>
    <t>Ganancias por Op. De C&amp;A no Resid.</t>
  </si>
  <si>
    <t>FPX Código_Nombre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</si>
</sst>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A186-7AAF-4913-A0BE-0DD208C259A0}">
  <dimension ref="A1:E48"/>
  <sheetViews>
    <sheetView showGridLines="0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10.85546875" bestFit="1" customWidth="1"/>
    <col min="2" max="2" width="35.5703125" bestFit="1" customWidth="1"/>
    <col min="3" max="3" width="38.42578125" bestFit="1" customWidth="1"/>
    <col min="4" max="4" width="11" bestFit="1" customWidth="1"/>
    <col min="5" max="5" width="40.85546875" bestFit="1" customWidth="1"/>
  </cols>
  <sheetData>
    <row r="1" spans="1:5" x14ac:dyDescent="0.25">
      <c r="A1" s="1" t="s">
        <v>163</v>
      </c>
      <c r="B1" s="1" t="s">
        <v>164</v>
      </c>
      <c r="C1" s="1" t="s">
        <v>166</v>
      </c>
      <c r="D1" s="1" t="s">
        <v>165</v>
      </c>
      <c r="E1" s="1" t="s">
        <v>164</v>
      </c>
    </row>
    <row r="2" spans="1:5" x14ac:dyDescent="0.25">
      <c r="A2" t="s">
        <v>95</v>
      </c>
      <c r="B2" t="s">
        <v>3</v>
      </c>
      <c r="C2" t="s">
        <v>3</v>
      </c>
      <c r="D2" t="s">
        <v>95</v>
      </c>
      <c r="E2" t="str">
        <f>CONCATENATE(A2," ",B2)</f>
        <v>1.1.1. Caja y Bancos</v>
      </c>
    </row>
    <row r="3" spans="1:5" x14ac:dyDescent="0.25">
      <c r="A3" t="s">
        <v>96</v>
      </c>
      <c r="B3" t="s">
        <v>97</v>
      </c>
      <c r="C3" t="s">
        <v>18</v>
      </c>
      <c r="D3" t="s">
        <v>96</v>
      </c>
      <c r="E3" t="str">
        <f t="shared" ref="E3:E48" si="0">CONCATENATE(A3," ",B3)</f>
        <v>1.2.1. Encaje Legal</v>
      </c>
    </row>
    <row r="4" spans="1:5" x14ac:dyDescent="0.25">
      <c r="A4" t="s">
        <v>98</v>
      </c>
      <c r="B4" t="s">
        <v>99</v>
      </c>
      <c r="C4" t="s">
        <v>7</v>
      </c>
      <c r="D4" t="s">
        <v>98</v>
      </c>
      <c r="E4" t="str">
        <f t="shared" si="0"/>
        <v>1.2.2. Cuenta Corriente</v>
      </c>
    </row>
    <row r="5" spans="1:5" x14ac:dyDescent="0.25">
      <c r="A5" t="s">
        <v>100</v>
      </c>
      <c r="B5" t="s">
        <v>101</v>
      </c>
      <c r="C5" t="s">
        <v>12</v>
      </c>
      <c r="D5" t="s">
        <v>100</v>
      </c>
      <c r="E5" t="str">
        <f t="shared" si="0"/>
        <v>1.2.3. Depósitos por Op. Monetarias</v>
      </c>
    </row>
    <row r="6" spans="1:5" x14ac:dyDescent="0.25">
      <c r="A6" t="s">
        <v>102</v>
      </c>
      <c r="B6" t="s">
        <v>103</v>
      </c>
      <c r="C6" t="s">
        <v>36</v>
      </c>
      <c r="D6" t="s">
        <v>102</v>
      </c>
      <c r="E6" t="str">
        <f t="shared" si="0"/>
        <v>1.2.4. Otros - BCP</v>
      </c>
    </row>
    <row r="7" spans="1:5" x14ac:dyDescent="0.25">
      <c r="A7" t="s">
        <v>104</v>
      </c>
      <c r="B7" t="s">
        <v>59</v>
      </c>
      <c r="C7" t="s">
        <v>59</v>
      </c>
      <c r="D7" t="s">
        <v>104</v>
      </c>
      <c r="E7" t="str">
        <f t="shared" si="0"/>
        <v>1.3.1. Valores Públicos</v>
      </c>
    </row>
    <row r="8" spans="1:5" x14ac:dyDescent="0.25">
      <c r="A8" t="s">
        <v>105</v>
      </c>
      <c r="B8" t="s">
        <v>84</v>
      </c>
      <c r="C8" t="s">
        <v>84</v>
      </c>
      <c r="D8" t="s">
        <v>105</v>
      </c>
      <c r="E8" t="str">
        <f t="shared" si="0"/>
        <v>1.3.2. Valores Privados</v>
      </c>
    </row>
    <row r="9" spans="1:5" x14ac:dyDescent="0.25">
      <c r="A9" t="s">
        <v>106</v>
      </c>
      <c r="B9" t="s">
        <v>54</v>
      </c>
      <c r="C9" t="s">
        <v>54</v>
      </c>
      <c r="D9" t="s">
        <v>106</v>
      </c>
      <c r="E9" t="str">
        <f t="shared" si="0"/>
        <v>1.4.1. Sector Financiero</v>
      </c>
    </row>
    <row r="10" spans="1:5" x14ac:dyDescent="0.25">
      <c r="A10" t="s">
        <v>157</v>
      </c>
      <c r="B10" t="s">
        <v>27</v>
      </c>
      <c r="C10" t="s">
        <v>27</v>
      </c>
      <c r="D10" t="s">
        <v>157</v>
      </c>
      <c r="E10" t="str">
        <f t="shared" si="0"/>
        <v>1.4.2. Interbancario</v>
      </c>
    </row>
    <row r="11" spans="1:5" x14ac:dyDescent="0.25">
      <c r="A11" t="s">
        <v>107</v>
      </c>
      <c r="B11" t="s">
        <v>55</v>
      </c>
      <c r="C11" t="s">
        <v>55</v>
      </c>
      <c r="D11" t="s">
        <v>107</v>
      </c>
      <c r="E11" t="str">
        <f t="shared" si="0"/>
        <v>1.4.3. Sector No Financiero</v>
      </c>
    </row>
    <row r="12" spans="1:5" x14ac:dyDescent="0.25">
      <c r="A12" t="s">
        <v>108</v>
      </c>
      <c r="B12" t="s">
        <v>109</v>
      </c>
      <c r="C12" t="s">
        <v>6</v>
      </c>
      <c r="D12" t="s">
        <v>108</v>
      </c>
      <c r="E12" t="str">
        <f t="shared" si="0"/>
        <v>1.4.4. Créditos y Coloc. Vencidos</v>
      </c>
    </row>
    <row r="13" spans="1:5" x14ac:dyDescent="0.25">
      <c r="A13" t="s">
        <v>110</v>
      </c>
      <c r="B13" t="s">
        <v>111</v>
      </c>
      <c r="C13" t="s">
        <v>14</v>
      </c>
      <c r="D13" t="s">
        <v>110</v>
      </c>
      <c r="E13" t="str">
        <f t="shared" si="0"/>
        <v>1.4.5. Deudores con Arreglo y Cred. Morosos</v>
      </c>
    </row>
    <row r="14" spans="1:5" x14ac:dyDescent="0.25">
      <c r="A14" t="s">
        <v>112</v>
      </c>
      <c r="B14" t="s">
        <v>57</v>
      </c>
      <c r="C14" t="s">
        <v>57</v>
      </c>
      <c r="D14" t="s">
        <v>112</v>
      </c>
      <c r="E14" t="str">
        <f t="shared" si="0"/>
        <v>1.4.6. Total Previsiones</v>
      </c>
    </row>
    <row r="15" spans="1:5" x14ac:dyDescent="0.25">
      <c r="A15" t="s">
        <v>113</v>
      </c>
      <c r="B15" t="s">
        <v>114</v>
      </c>
      <c r="C15" t="s">
        <v>46</v>
      </c>
      <c r="D15" t="s">
        <v>113</v>
      </c>
      <c r="E15" t="str">
        <f t="shared" si="0"/>
        <v>1.5.1. Vigentes</v>
      </c>
    </row>
    <row r="16" spans="1:5" x14ac:dyDescent="0.25">
      <c r="A16" t="s">
        <v>115</v>
      </c>
      <c r="B16" t="s">
        <v>116</v>
      </c>
      <c r="C16" t="s">
        <v>45</v>
      </c>
      <c r="D16" t="s">
        <v>115</v>
      </c>
      <c r="E16" t="str">
        <f t="shared" si="0"/>
        <v>1.5.2. Vencidos</v>
      </c>
    </row>
    <row r="17" spans="1:5" x14ac:dyDescent="0.25">
      <c r="A17" t="s">
        <v>117</v>
      </c>
      <c r="B17" t="s">
        <v>118</v>
      </c>
      <c r="C17" t="s">
        <v>1</v>
      </c>
      <c r="D17" t="s">
        <v>117</v>
      </c>
      <c r="E17" t="str">
        <f t="shared" si="0"/>
        <v>1.6.1. Bienes Realizados y adj. en pago</v>
      </c>
    </row>
    <row r="18" spans="1:5" x14ac:dyDescent="0.25">
      <c r="A18" t="s">
        <v>119</v>
      </c>
      <c r="B18" t="s">
        <v>120</v>
      </c>
      <c r="C18" t="s">
        <v>44</v>
      </c>
      <c r="D18" t="s">
        <v>119</v>
      </c>
      <c r="E18" t="str">
        <f t="shared" si="0"/>
        <v>1.6.2. Prev. s/ bienes adjudicados</v>
      </c>
    </row>
    <row r="19" spans="1:5" x14ac:dyDescent="0.25">
      <c r="A19" t="s">
        <v>121</v>
      </c>
      <c r="B19" t="s">
        <v>122</v>
      </c>
      <c r="C19" t="s">
        <v>33</v>
      </c>
      <c r="D19" t="s">
        <v>121</v>
      </c>
      <c r="E19" t="str">
        <f t="shared" si="0"/>
        <v>1.6.3. Otras inversiones</v>
      </c>
    </row>
    <row r="20" spans="1:5" x14ac:dyDescent="0.25">
      <c r="A20" t="s">
        <v>123</v>
      </c>
      <c r="B20" t="s">
        <v>124</v>
      </c>
      <c r="C20" t="s">
        <v>73</v>
      </c>
      <c r="D20" t="s">
        <v>123</v>
      </c>
      <c r="E20" t="str">
        <f t="shared" si="0"/>
        <v>1.6.4. Previsiones</v>
      </c>
    </row>
    <row r="21" spans="1:5" x14ac:dyDescent="0.25">
      <c r="A21" t="s">
        <v>125</v>
      </c>
      <c r="B21" t="s">
        <v>2</v>
      </c>
      <c r="C21" t="s">
        <v>2</v>
      </c>
      <c r="D21" t="s">
        <v>125</v>
      </c>
      <c r="E21" t="str">
        <f t="shared" si="0"/>
        <v>1.7.1. Bienes de Uso</v>
      </c>
    </row>
    <row r="22" spans="1:5" x14ac:dyDescent="0.25">
      <c r="A22" t="s">
        <v>126</v>
      </c>
      <c r="B22" t="s">
        <v>127</v>
      </c>
      <c r="C22" t="s">
        <v>32</v>
      </c>
      <c r="D22" t="s">
        <v>126</v>
      </c>
      <c r="E22" t="str">
        <f t="shared" si="0"/>
        <v>1.8.1. Op. a Liquidar - Activo</v>
      </c>
    </row>
    <row r="23" spans="1:5" x14ac:dyDescent="0.25">
      <c r="A23" t="s">
        <v>128</v>
      </c>
      <c r="B23" t="s">
        <v>35</v>
      </c>
      <c r="C23" t="s">
        <v>35</v>
      </c>
      <c r="D23" t="s">
        <v>128</v>
      </c>
      <c r="E23" t="str">
        <f t="shared" si="0"/>
        <v>1.9.1. Otros Activos Netos</v>
      </c>
    </row>
    <row r="24" spans="1:5" x14ac:dyDescent="0.25">
      <c r="A24" t="s">
        <v>129</v>
      </c>
      <c r="B24" t="s">
        <v>130</v>
      </c>
      <c r="C24" t="s">
        <v>9</v>
      </c>
      <c r="D24" t="s">
        <v>129</v>
      </c>
      <c r="E24" t="str">
        <f t="shared" si="0"/>
        <v>2.1.1. Cta. Cte.</v>
      </c>
    </row>
    <row r="25" spans="1:5" x14ac:dyDescent="0.25">
      <c r="A25" t="s">
        <v>131</v>
      </c>
      <c r="B25" t="s">
        <v>132</v>
      </c>
      <c r="C25" t="s">
        <v>11</v>
      </c>
      <c r="D25" t="s">
        <v>131</v>
      </c>
      <c r="E25" t="str">
        <f t="shared" si="0"/>
        <v>2.1.2. A la Vista</v>
      </c>
    </row>
    <row r="26" spans="1:5" x14ac:dyDescent="0.25">
      <c r="A26" t="s">
        <v>133</v>
      </c>
      <c r="B26" t="s">
        <v>134</v>
      </c>
      <c r="C26" t="s">
        <v>10</v>
      </c>
      <c r="D26" t="s">
        <v>133</v>
      </c>
      <c r="E26" t="str">
        <f t="shared" si="0"/>
        <v>2.1.3. Plazo Fijo</v>
      </c>
    </row>
    <row r="27" spans="1:5" x14ac:dyDescent="0.25">
      <c r="A27" t="s">
        <v>135</v>
      </c>
      <c r="B27" t="s">
        <v>136</v>
      </c>
      <c r="C27" t="s">
        <v>8</v>
      </c>
      <c r="D27" t="s">
        <v>135</v>
      </c>
      <c r="E27" t="str">
        <f t="shared" si="0"/>
        <v>2.1.4. CDA</v>
      </c>
    </row>
    <row r="28" spans="1:5" x14ac:dyDescent="0.25">
      <c r="A28" t="s">
        <v>158</v>
      </c>
      <c r="B28" t="s">
        <v>94</v>
      </c>
      <c r="C28" t="s">
        <v>94</v>
      </c>
      <c r="D28" t="s">
        <v>158</v>
      </c>
      <c r="E28" t="str">
        <f t="shared" si="0"/>
        <v>2.1.5. Títulos de Inversión</v>
      </c>
    </row>
    <row r="29" spans="1:5" x14ac:dyDescent="0.25">
      <c r="A29" t="s">
        <v>137</v>
      </c>
      <c r="B29" t="s">
        <v>28</v>
      </c>
      <c r="C29" t="s">
        <v>28</v>
      </c>
      <c r="D29" t="s">
        <v>137</v>
      </c>
      <c r="E29" t="str">
        <f t="shared" si="0"/>
        <v>2.1.6. Intereses Devengados</v>
      </c>
    </row>
    <row r="30" spans="1:5" x14ac:dyDescent="0.25">
      <c r="A30" t="s">
        <v>138</v>
      </c>
      <c r="B30" t="s">
        <v>139</v>
      </c>
      <c r="C30" t="s">
        <v>41</v>
      </c>
      <c r="D30" t="s">
        <v>138</v>
      </c>
      <c r="E30" t="str">
        <f t="shared" si="0"/>
        <v>2.2.1. Otros Valores Emitidos</v>
      </c>
    </row>
    <row r="31" spans="1:5" x14ac:dyDescent="0.25">
      <c r="A31" t="s">
        <v>140</v>
      </c>
      <c r="B31" t="s">
        <v>75</v>
      </c>
      <c r="C31" t="s">
        <v>75</v>
      </c>
      <c r="D31" t="s">
        <v>140</v>
      </c>
      <c r="E31" t="str">
        <f t="shared" si="0"/>
        <v>2.3.1. BCP - Pasivo</v>
      </c>
    </row>
    <row r="32" spans="1:5" x14ac:dyDescent="0.25">
      <c r="A32" t="s">
        <v>141</v>
      </c>
      <c r="B32" t="s">
        <v>142</v>
      </c>
      <c r="C32" t="s">
        <v>31</v>
      </c>
      <c r="D32" t="s">
        <v>141</v>
      </c>
      <c r="E32" t="str">
        <f t="shared" si="0"/>
        <v>2.4.1. Op. a Liquidar - Pasivo</v>
      </c>
    </row>
    <row r="33" spans="1:5" x14ac:dyDescent="0.25">
      <c r="A33" t="s">
        <v>143</v>
      </c>
      <c r="B33" t="s">
        <v>83</v>
      </c>
      <c r="C33" t="s">
        <v>83</v>
      </c>
      <c r="D33" t="s">
        <v>143</v>
      </c>
      <c r="E33" t="str">
        <f t="shared" si="0"/>
        <v>2.5.1. Interbancarios</v>
      </c>
    </row>
    <row r="34" spans="1:5" x14ac:dyDescent="0.25">
      <c r="A34" t="s">
        <v>144</v>
      </c>
      <c r="B34" t="s">
        <v>29</v>
      </c>
      <c r="C34" t="s">
        <v>29</v>
      </c>
      <c r="D34" t="s">
        <v>144</v>
      </c>
      <c r="E34" t="str">
        <f t="shared" si="0"/>
        <v>2.6.1. Interno</v>
      </c>
    </row>
    <row r="35" spans="1:5" x14ac:dyDescent="0.25">
      <c r="A35" t="s">
        <v>145</v>
      </c>
      <c r="B35" t="s">
        <v>19</v>
      </c>
      <c r="C35" t="s">
        <v>19</v>
      </c>
      <c r="D35" t="s">
        <v>145</v>
      </c>
      <c r="E35" t="str">
        <f t="shared" si="0"/>
        <v>2.6.2. Externo</v>
      </c>
    </row>
    <row r="36" spans="1:5" x14ac:dyDescent="0.25">
      <c r="A36" t="s">
        <v>146</v>
      </c>
      <c r="B36" t="s">
        <v>40</v>
      </c>
      <c r="C36" t="s">
        <v>40</v>
      </c>
      <c r="D36" t="s">
        <v>146</v>
      </c>
      <c r="E36" t="str">
        <f t="shared" si="0"/>
        <v>2.7.1. Otros Pasivos</v>
      </c>
    </row>
    <row r="37" spans="1:5" x14ac:dyDescent="0.25">
      <c r="A37" t="s">
        <v>147</v>
      </c>
      <c r="B37" t="s">
        <v>4</v>
      </c>
      <c r="C37" t="s">
        <v>4</v>
      </c>
      <c r="D37" t="s">
        <v>147</v>
      </c>
      <c r="E37" t="str">
        <f t="shared" si="0"/>
        <v>3.1.1. Capital Integrado</v>
      </c>
    </row>
    <row r="38" spans="1:5" x14ac:dyDescent="0.25">
      <c r="A38" t="s">
        <v>159</v>
      </c>
      <c r="B38" t="s">
        <v>76</v>
      </c>
      <c r="C38" t="s">
        <v>76</v>
      </c>
      <c r="D38" t="s">
        <v>159</v>
      </c>
      <c r="E38" t="str">
        <f t="shared" si="0"/>
        <v>3.1.2. Capital Secundario</v>
      </c>
    </row>
    <row r="39" spans="1:5" x14ac:dyDescent="0.25">
      <c r="A39" t="s">
        <v>148</v>
      </c>
      <c r="B39" t="s">
        <v>86</v>
      </c>
      <c r="C39" t="s">
        <v>86</v>
      </c>
      <c r="D39" t="s">
        <v>148</v>
      </c>
      <c r="E39" t="str">
        <f t="shared" si="0"/>
        <v>3.1.3. Aportes no Capitalizados</v>
      </c>
    </row>
    <row r="40" spans="1:5" x14ac:dyDescent="0.25">
      <c r="A40" t="s">
        <v>149</v>
      </c>
      <c r="B40" t="s">
        <v>52</v>
      </c>
      <c r="C40" t="s">
        <v>52</v>
      </c>
      <c r="D40" t="s">
        <v>149</v>
      </c>
      <c r="E40" t="str">
        <f t="shared" si="0"/>
        <v>3.2.1. Reserva Legal</v>
      </c>
    </row>
    <row r="41" spans="1:5" x14ac:dyDescent="0.25">
      <c r="A41" t="s">
        <v>150</v>
      </c>
      <c r="B41" t="s">
        <v>34</v>
      </c>
      <c r="C41" t="s">
        <v>34</v>
      </c>
      <c r="D41" t="s">
        <v>150</v>
      </c>
      <c r="E41" t="str">
        <f t="shared" si="0"/>
        <v>3.2.2. Otras Reservas</v>
      </c>
    </row>
    <row r="42" spans="1:5" x14ac:dyDescent="0.25">
      <c r="A42" t="s">
        <v>151</v>
      </c>
      <c r="B42" t="s">
        <v>53</v>
      </c>
      <c r="C42" t="s">
        <v>53</v>
      </c>
      <c r="D42" t="s">
        <v>151</v>
      </c>
      <c r="E42" t="str">
        <f t="shared" si="0"/>
        <v>3.3.1. Resultados Acumulados</v>
      </c>
    </row>
    <row r="43" spans="1:5" x14ac:dyDescent="0.25">
      <c r="A43" t="s">
        <v>152</v>
      </c>
      <c r="B43" t="s">
        <v>58</v>
      </c>
      <c r="C43" t="s">
        <v>58</v>
      </c>
      <c r="D43" t="s">
        <v>152</v>
      </c>
      <c r="E43" t="str">
        <f t="shared" si="0"/>
        <v>3.4.1. Utilidad del Ejercicio</v>
      </c>
    </row>
    <row r="44" spans="1:5" x14ac:dyDescent="0.25">
      <c r="A44" t="s">
        <v>160</v>
      </c>
      <c r="B44" t="s">
        <v>85</v>
      </c>
      <c r="C44" t="s">
        <v>85</v>
      </c>
      <c r="D44" t="s">
        <v>160</v>
      </c>
      <c r="E44" t="str">
        <f t="shared" si="0"/>
        <v>4.1.2. Aceptaciones</v>
      </c>
    </row>
    <row r="45" spans="1:5" x14ac:dyDescent="0.25">
      <c r="A45" t="s">
        <v>153</v>
      </c>
      <c r="B45" t="s">
        <v>70</v>
      </c>
      <c r="C45" t="s">
        <v>70</v>
      </c>
      <c r="D45" t="s">
        <v>153</v>
      </c>
      <c r="E45" t="str">
        <f t="shared" si="0"/>
        <v>4.1.3. Garantías Otorgadas</v>
      </c>
    </row>
    <row r="46" spans="1:5" x14ac:dyDescent="0.25">
      <c r="A46" t="s">
        <v>154</v>
      </c>
      <c r="B46" t="s">
        <v>68</v>
      </c>
      <c r="C46" t="s">
        <v>68</v>
      </c>
      <c r="D46" t="s">
        <v>154</v>
      </c>
      <c r="E46" t="str">
        <f t="shared" si="0"/>
        <v>4.1.4. Créditos Documentarios</v>
      </c>
    </row>
    <row r="47" spans="1:5" x14ac:dyDescent="0.25">
      <c r="A47" t="s">
        <v>155</v>
      </c>
      <c r="B47" t="s">
        <v>30</v>
      </c>
      <c r="C47" t="s">
        <v>30</v>
      </c>
      <c r="D47" t="s">
        <v>155</v>
      </c>
      <c r="E47" t="str">
        <f t="shared" si="0"/>
        <v>4.1.5. Líneas de Créditos Otorgados</v>
      </c>
    </row>
    <row r="48" spans="1:5" x14ac:dyDescent="0.25">
      <c r="A48" t="s">
        <v>161</v>
      </c>
      <c r="B48" t="s">
        <v>162</v>
      </c>
      <c r="C48" t="s">
        <v>81</v>
      </c>
      <c r="D48" t="s">
        <v>161</v>
      </c>
      <c r="E48" t="str">
        <f t="shared" si="0"/>
        <v>4.1.6. Otros</v>
      </c>
    </row>
  </sheetData>
  <sortState xmlns:xlrd2="http://schemas.microsoft.com/office/spreadsheetml/2017/richdata2" ref="A2:D48">
    <sortCondition ref="A2:A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B7ED-0F5A-4DD5-88DC-CFE32D1B2784}">
  <dimension ref="A1:E50"/>
  <sheetViews>
    <sheetView showGridLines="0" tabSelected="1" workbookViewId="0">
      <selection activeCell="E17" sqref="E16:E17"/>
    </sheetView>
  </sheetViews>
  <sheetFormatPr defaultRowHeight="15" x14ac:dyDescent="0.25"/>
  <cols>
    <col min="1" max="1" width="10.85546875" bestFit="1" customWidth="1"/>
    <col min="2" max="2" width="43.5703125" bestFit="1" customWidth="1"/>
    <col min="3" max="3" width="55.140625" bestFit="1" customWidth="1"/>
    <col min="4" max="4" width="11" bestFit="1" customWidth="1"/>
    <col min="5" max="5" width="48.85546875" bestFit="1" customWidth="1"/>
  </cols>
  <sheetData>
    <row r="1" spans="1:5" x14ac:dyDescent="0.25">
      <c r="A1" s="1" t="s">
        <v>163</v>
      </c>
      <c r="B1" s="1" t="s">
        <v>164</v>
      </c>
      <c r="C1" s="1" t="s">
        <v>166</v>
      </c>
      <c r="D1" s="1" t="s">
        <v>165</v>
      </c>
      <c r="E1" s="1" t="s">
        <v>164</v>
      </c>
    </row>
    <row r="2" spans="1:5" x14ac:dyDescent="0.25">
      <c r="A2" t="s">
        <v>95</v>
      </c>
      <c r="B2" t="s">
        <v>167</v>
      </c>
      <c r="C2" t="s">
        <v>21</v>
      </c>
      <c r="D2" t="s">
        <v>95</v>
      </c>
      <c r="E2" t="str">
        <f>CONCATENATE(A2," ",B2)</f>
        <v>1.1.1. Ganan. Créd. Vig. p/ Inter. Finan. S.F.</v>
      </c>
    </row>
    <row r="3" spans="1:5" x14ac:dyDescent="0.25">
      <c r="A3" t="s">
        <v>168</v>
      </c>
      <c r="B3" t="s">
        <v>169</v>
      </c>
      <c r="C3" t="s">
        <v>22</v>
      </c>
      <c r="D3" t="s">
        <v>168</v>
      </c>
      <c r="E3" t="str">
        <f t="shared" ref="E3:E50" si="0">CONCATENATE(A3," ",B3)</f>
        <v>1.1.2. Ganan. Créd. Vig. p/ Inter. Finan. S.N.F.</v>
      </c>
    </row>
    <row r="4" spans="1:5" x14ac:dyDescent="0.25">
      <c r="A4" t="s">
        <v>170</v>
      </c>
      <c r="B4" t="s">
        <v>171</v>
      </c>
      <c r="C4" t="s">
        <v>20</v>
      </c>
      <c r="D4" t="s">
        <v>170</v>
      </c>
      <c r="E4" t="str">
        <f t="shared" si="0"/>
        <v>1.1.3. Ganan. Créd. Ven. p/ Inter. Finan.</v>
      </c>
    </row>
    <row r="5" spans="1:5" x14ac:dyDescent="0.25">
      <c r="A5" t="s">
        <v>172</v>
      </c>
      <c r="B5" t="s">
        <v>173</v>
      </c>
      <c r="C5" t="s">
        <v>80</v>
      </c>
      <c r="D5" t="s">
        <v>172</v>
      </c>
      <c r="E5" t="str">
        <f t="shared" si="0"/>
        <v>1.1.5. Rentas y Difer. de Cotiz. De Val. Públicos y Priv.</v>
      </c>
    </row>
    <row r="6" spans="1:5" x14ac:dyDescent="0.25">
      <c r="A6" t="s">
        <v>96</v>
      </c>
      <c r="B6" t="s">
        <v>56</v>
      </c>
      <c r="C6" t="s">
        <v>56</v>
      </c>
      <c r="D6" t="s">
        <v>96</v>
      </c>
      <c r="E6" t="str">
        <f t="shared" si="0"/>
        <v>1.2.1. Tarjetas de Crédito</v>
      </c>
    </row>
    <row r="7" spans="1:5" x14ac:dyDescent="0.25">
      <c r="A7" t="s">
        <v>98</v>
      </c>
      <c r="B7" t="s">
        <v>174</v>
      </c>
      <c r="C7" t="s">
        <v>25</v>
      </c>
      <c r="D7" t="s">
        <v>98</v>
      </c>
      <c r="E7" t="str">
        <f t="shared" si="0"/>
        <v>1.2.2. Giros, transfer. y órdenes de pago</v>
      </c>
    </row>
    <row r="8" spans="1:5" x14ac:dyDescent="0.25">
      <c r="A8" t="s">
        <v>102</v>
      </c>
      <c r="B8" t="s">
        <v>175</v>
      </c>
      <c r="C8" t="s">
        <v>0</v>
      </c>
      <c r="D8" t="s">
        <v>102</v>
      </c>
      <c r="E8" t="str">
        <f t="shared" si="0"/>
        <v>1.2.4. Admin. de Cuentas Corrientes</v>
      </c>
    </row>
    <row r="9" spans="1:5" x14ac:dyDescent="0.25">
      <c r="A9" t="s">
        <v>176</v>
      </c>
      <c r="B9" t="s">
        <v>162</v>
      </c>
      <c r="C9" t="s">
        <v>39</v>
      </c>
      <c r="D9" t="s">
        <v>176</v>
      </c>
      <c r="E9" t="str">
        <f t="shared" si="0"/>
        <v>1.2.5. Otros</v>
      </c>
    </row>
    <row r="10" spans="1:5" x14ac:dyDescent="0.25">
      <c r="A10" t="s">
        <v>104</v>
      </c>
      <c r="B10" t="s">
        <v>177</v>
      </c>
      <c r="C10" t="s">
        <v>23</v>
      </c>
      <c r="D10" t="s">
        <v>104</v>
      </c>
      <c r="E10" t="str">
        <f t="shared" si="0"/>
        <v>1.3.1. Ganancias por Op. De C&amp;A</v>
      </c>
    </row>
    <row r="11" spans="1:5" x14ac:dyDescent="0.25">
      <c r="A11" t="s">
        <v>243</v>
      </c>
      <c r="B11" t="s">
        <v>244</v>
      </c>
      <c r="C11" t="s">
        <v>245</v>
      </c>
      <c r="D11" t="s">
        <v>243</v>
      </c>
      <c r="E11" t="str">
        <f t="shared" si="0"/>
        <v>1.3.2 1.3.2. Ganancias por Op. De C&amp;A no Resid.</v>
      </c>
    </row>
    <row r="12" spans="1:5" x14ac:dyDescent="0.25">
      <c r="A12" t="s">
        <v>107</v>
      </c>
      <c r="B12" t="s">
        <v>211</v>
      </c>
      <c r="C12" t="s">
        <v>90</v>
      </c>
      <c r="D12" t="s">
        <v>107</v>
      </c>
      <c r="E12" t="str">
        <f t="shared" si="0"/>
        <v>1.4.3. Con Valores Públicos Nac.</v>
      </c>
    </row>
    <row r="13" spans="1:5" x14ac:dyDescent="0.25">
      <c r="A13" t="s">
        <v>110</v>
      </c>
      <c r="B13" t="s">
        <v>212</v>
      </c>
      <c r="C13" t="s">
        <v>91</v>
      </c>
      <c r="D13" t="s">
        <v>110</v>
      </c>
      <c r="E13" t="str">
        <f t="shared" si="0"/>
        <v>1.4.5. Con otros Valores Mobiliarios</v>
      </c>
    </row>
    <row r="14" spans="1:5" x14ac:dyDescent="0.25">
      <c r="A14" t="s">
        <v>178</v>
      </c>
      <c r="B14" t="s">
        <v>179</v>
      </c>
      <c r="C14" t="s">
        <v>93</v>
      </c>
      <c r="D14" t="s">
        <v>178</v>
      </c>
      <c r="E14" t="str">
        <f t="shared" si="0"/>
        <v>1.4.7. Con Contratos Forward</v>
      </c>
    </row>
    <row r="15" spans="1:5" x14ac:dyDescent="0.25">
      <c r="A15" t="s">
        <v>113</v>
      </c>
      <c r="B15" t="s">
        <v>24</v>
      </c>
      <c r="C15" t="s">
        <v>24</v>
      </c>
      <c r="D15" t="s">
        <v>113</v>
      </c>
      <c r="E15" t="str">
        <f t="shared" si="0"/>
        <v>1.5.1. Ganancias por Valuación - Financiero</v>
      </c>
    </row>
    <row r="16" spans="1:5" x14ac:dyDescent="0.25">
      <c r="A16" t="s">
        <v>115</v>
      </c>
      <c r="B16" t="s">
        <v>69</v>
      </c>
      <c r="C16" t="s">
        <v>69</v>
      </c>
      <c r="D16" t="s">
        <v>115</v>
      </c>
      <c r="E16" t="str">
        <f t="shared" si="0"/>
        <v>1.5.2. Ganancias por Valuación - Diversos</v>
      </c>
    </row>
    <row r="17" spans="1:5" x14ac:dyDescent="0.25">
      <c r="A17" t="s">
        <v>117</v>
      </c>
      <c r="B17" t="s">
        <v>180</v>
      </c>
      <c r="C17" t="s">
        <v>38</v>
      </c>
      <c r="D17" t="s">
        <v>117</v>
      </c>
      <c r="E17" t="str">
        <f t="shared" si="0"/>
        <v>1.6.1. Ganancias por Créditos Diversos</v>
      </c>
    </row>
    <row r="18" spans="1:5" x14ac:dyDescent="0.25">
      <c r="A18" t="s">
        <v>119</v>
      </c>
      <c r="B18" t="s">
        <v>213</v>
      </c>
      <c r="C18" t="s">
        <v>72</v>
      </c>
      <c r="D18" t="s">
        <v>119</v>
      </c>
      <c r="E18" t="str">
        <f t="shared" si="0"/>
        <v>1.6.2. Rentas</v>
      </c>
    </row>
    <row r="19" spans="1:5" x14ac:dyDescent="0.25">
      <c r="A19" t="s">
        <v>121</v>
      </c>
      <c r="B19" t="s">
        <v>181</v>
      </c>
      <c r="C19" t="s">
        <v>71</v>
      </c>
      <c r="D19" t="s">
        <v>121</v>
      </c>
      <c r="E19" t="str">
        <f t="shared" si="0"/>
        <v>1.6.3. Otras Ganancias Diversas</v>
      </c>
    </row>
    <row r="20" spans="1:5" x14ac:dyDescent="0.25">
      <c r="A20" t="s">
        <v>182</v>
      </c>
      <c r="B20" t="s">
        <v>183</v>
      </c>
      <c r="C20" t="s">
        <v>87</v>
      </c>
      <c r="D20" t="s">
        <v>182</v>
      </c>
      <c r="E20" t="str">
        <f t="shared" si="0"/>
        <v>1.6.5. Fideicomisos</v>
      </c>
    </row>
    <row r="21" spans="1:5" x14ac:dyDescent="0.25">
      <c r="A21" t="s">
        <v>184</v>
      </c>
      <c r="B21" t="s">
        <v>185</v>
      </c>
      <c r="C21" t="s">
        <v>67</v>
      </c>
      <c r="D21" t="s">
        <v>184</v>
      </c>
      <c r="E21" t="str">
        <f t="shared" si="0"/>
        <v>10.1.1. Utilidad a Distribuir</v>
      </c>
    </row>
    <row r="22" spans="1:5" x14ac:dyDescent="0.25">
      <c r="A22" t="s">
        <v>129</v>
      </c>
      <c r="B22" t="s">
        <v>48</v>
      </c>
      <c r="C22" t="s">
        <v>48</v>
      </c>
      <c r="D22" t="s">
        <v>129</v>
      </c>
      <c r="E22" t="str">
        <f t="shared" si="0"/>
        <v>2.1.1. Pérd. Oblig. Inter. Finan. S.F.</v>
      </c>
    </row>
    <row r="23" spans="1:5" x14ac:dyDescent="0.25">
      <c r="A23" t="s">
        <v>131</v>
      </c>
      <c r="B23" t="s">
        <v>49</v>
      </c>
      <c r="C23" t="s">
        <v>49</v>
      </c>
      <c r="D23" t="s">
        <v>131</v>
      </c>
      <c r="E23" t="str">
        <f t="shared" si="0"/>
        <v>2.1.2. Pérd. Oblig. Inter. Finan. S.N.F.</v>
      </c>
    </row>
    <row r="24" spans="1:5" x14ac:dyDescent="0.25">
      <c r="A24" t="s">
        <v>133</v>
      </c>
      <c r="B24" t="s">
        <v>186</v>
      </c>
      <c r="C24" t="s">
        <v>15</v>
      </c>
      <c r="D24" t="s">
        <v>133</v>
      </c>
      <c r="E24" t="str">
        <f t="shared" si="0"/>
        <v>2.1.3. Diferencias de Cotiz. De Val. Públicos y Priv.</v>
      </c>
    </row>
    <row r="25" spans="1:5" x14ac:dyDescent="0.25">
      <c r="A25" t="s">
        <v>138</v>
      </c>
      <c r="B25" t="s">
        <v>214</v>
      </c>
      <c r="C25" t="s">
        <v>82</v>
      </c>
      <c r="D25" t="s">
        <v>138</v>
      </c>
      <c r="E25" t="str">
        <f t="shared" si="0"/>
        <v>2.2.1. Comisones pagad. a corres. En el Exterior</v>
      </c>
    </row>
    <row r="26" spans="1:5" x14ac:dyDescent="0.25">
      <c r="A26" t="s">
        <v>187</v>
      </c>
      <c r="B26" t="s">
        <v>188</v>
      </c>
      <c r="C26" t="s">
        <v>42</v>
      </c>
      <c r="D26" t="s">
        <v>187</v>
      </c>
      <c r="E26" t="str">
        <f t="shared" si="0"/>
        <v>2.2.3. Giros, Transfer. y Órdenes de Pago</v>
      </c>
    </row>
    <row r="27" spans="1:5" x14ac:dyDescent="0.25">
      <c r="A27" t="s">
        <v>189</v>
      </c>
      <c r="B27" t="s">
        <v>190</v>
      </c>
      <c r="C27" t="s">
        <v>16</v>
      </c>
      <c r="D27" t="s">
        <v>189</v>
      </c>
      <c r="E27" t="str">
        <f t="shared" si="0"/>
        <v>2.2.4. Pérdidas por Servicios - Diversos</v>
      </c>
    </row>
    <row r="28" spans="1:5" x14ac:dyDescent="0.25">
      <c r="A28" t="s">
        <v>140</v>
      </c>
      <c r="B28" t="s">
        <v>191</v>
      </c>
      <c r="C28" t="s">
        <v>50</v>
      </c>
      <c r="D28" t="s">
        <v>140</v>
      </c>
      <c r="E28" t="str">
        <f t="shared" si="0"/>
        <v>2.3.1. Pérdidas por Op. de C&amp;A</v>
      </c>
    </row>
    <row r="29" spans="1:5" x14ac:dyDescent="0.25">
      <c r="A29" t="s">
        <v>215</v>
      </c>
      <c r="B29" t="s">
        <v>211</v>
      </c>
      <c r="C29" t="s">
        <v>78</v>
      </c>
      <c r="D29" t="s">
        <v>215</v>
      </c>
      <c r="E29" t="str">
        <f t="shared" si="0"/>
        <v>2.4.2. Con Valores Públicos Nac.</v>
      </c>
    </row>
    <row r="30" spans="1:5" x14ac:dyDescent="0.25">
      <c r="A30" t="s">
        <v>216</v>
      </c>
      <c r="B30" t="s">
        <v>212</v>
      </c>
      <c r="C30" t="s">
        <v>89</v>
      </c>
      <c r="D30" t="s">
        <v>216</v>
      </c>
      <c r="E30" t="str">
        <f t="shared" si="0"/>
        <v>2.4.4. Con otros Valores Mobiliarios</v>
      </c>
    </row>
    <row r="31" spans="1:5" x14ac:dyDescent="0.25">
      <c r="A31" t="s">
        <v>192</v>
      </c>
      <c r="B31" t="s">
        <v>179</v>
      </c>
      <c r="C31" t="s">
        <v>92</v>
      </c>
      <c r="D31" t="s">
        <v>192</v>
      </c>
      <c r="E31" t="str">
        <f t="shared" si="0"/>
        <v>2.4.5. Con Contratos Forward</v>
      </c>
    </row>
    <row r="32" spans="1:5" x14ac:dyDescent="0.25">
      <c r="A32" t="s">
        <v>143</v>
      </c>
      <c r="B32" t="s">
        <v>51</v>
      </c>
      <c r="C32" t="s">
        <v>51</v>
      </c>
      <c r="D32" t="s">
        <v>143</v>
      </c>
      <c r="E32" t="str">
        <f t="shared" si="0"/>
        <v>2.5.1. Pérdidas por Valuación - Financiero</v>
      </c>
    </row>
    <row r="33" spans="1:5" x14ac:dyDescent="0.25">
      <c r="A33" t="s">
        <v>193</v>
      </c>
      <c r="B33" t="s">
        <v>74</v>
      </c>
      <c r="C33" t="s">
        <v>74</v>
      </c>
      <c r="D33" t="s">
        <v>193</v>
      </c>
      <c r="E33" t="str">
        <f t="shared" si="0"/>
        <v>2.5.2. Pérdidas por Valuación - Diversos</v>
      </c>
    </row>
    <row r="34" spans="1:5" x14ac:dyDescent="0.25">
      <c r="A34" t="s">
        <v>145</v>
      </c>
      <c r="B34" t="s">
        <v>88</v>
      </c>
      <c r="C34" t="s">
        <v>88</v>
      </c>
      <c r="D34" t="s">
        <v>145</v>
      </c>
      <c r="E34" t="str">
        <f t="shared" si="0"/>
        <v>2.6.2. Pérdidas por Obligaciones Diversas</v>
      </c>
    </row>
    <row r="35" spans="1:5" x14ac:dyDescent="0.25">
      <c r="A35" t="s">
        <v>147</v>
      </c>
      <c r="B35" t="s">
        <v>60</v>
      </c>
      <c r="C35" t="s">
        <v>60</v>
      </c>
      <c r="D35" t="s">
        <v>147</v>
      </c>
      <c r="E35" t="str">
        <f t="shared" si="0"/>
        <v>3.1.1. Margen Financiero</v>
      </c>
    </row>
    <row r="36" spans="1:5" x14ac:dyDescent="0.25">
      <c r="A36" t="s">
        <v>159</v>
      </c>
      <c r="B36" t="s">
        <v>62</v>
      </c>
      <c r="C36" t="s">
        <v>62</v>
      </c>
      <c r="D36" t="s">
        <v>159</v>
      </c>
      <c r="E36" t="str">
        <f t="shared" si="0"/>
        <v>3.1.2. Margen por servicios</v>
      </c>
    </row>
    <row r="37" spans="1:5" x14ac:dyDescent="0.25">
      <c r="A37" t="s">
        <v>148</v>
      </c>
      <c r="B37" t="s">
        <v>194</v>
      </c>
      <c r="C37" t="s">
        <v>63</v>
      </c>
      <c r="D37" t="s">
        <v>148</v>
      </c>
      <c r="E37" t="str">
        <f t="shared" si="0"/>
        <v>3.1.3. Margen por Op. de C&amp;A</v>
      </c>
    </row>
    <row r="38" spans="1:5" x14ac:dyDescent="0.25">
      <c r="A38" t="s">
        <v>195</v>
      </c>
      <c r="B38" t="s">
        <v>196</v>
      </c>
      <c r="C38" t="s">
        <v>79</v>
      </c>
      <c r="D38" t="s">
        <v>195</v>
      </c>
      <c r="E38" t="str">
        <f t="shared" si="0"/>
        <v>3.1.4. Margen por Op. - Otros Valores</v>
      </c>
    </row>
    <row r="39" spans="1:5" x14ac:dyDescent="0.25">
      <c r="A39" t="s">
        <v>197</v>
      </c>
      <c r="B39" t="s">
        <v>64</v>
      </c>
      <c r="C39" t="s">
        <v>64</v>
      </c>
      <c r="D39" t="s">
        <v>197</v>
      </c>
      <c r="E39" t="str">
        <f t="shared" si="0"/>
        <v>3.1.5. Margen por valuación</v>
      </c>
    </row>
    <row r="40" spans="1:5" x14ac:dyDescent="0.25">
      <c r="A40" t="s">
        <v>198</v>
      </c>
      <c r="B40" t="s">
        <v>199</v>
      </c>
      <c r="C40" t="s">
        <v>61</v>
      </c>
      <c r="D40" t="s">
        <v>198</v>
      </c>
      <c r="E40" t="str">
        <f t="shared" si="0"/>
        <v>3.1.6. Margen por Otros Ingresos Operat.</v>
      </c>
    </row>
    <row r="41" spans="1:5" x14ac:dyDescent="0.25">
      <c r="A41" t="s">
        <v>200</v>
      </c>
      <c r="B41" t="s">
        <v>43</v>
      </c>
      <c r="C41" t="s">
        <v>43</v>
      </c>
      <c r="D41" t="s">
        <v>200</v>
      </c>
      <c r="E41" t="str">
        <f t="shared" si="0"/>
        <v>4.1.1. Personal</v>
      </c>
    </row>
    <row r="42" spans="1:5" x14ac:dyDescent="0.25">
      <c r="A42" t="s">
        <v>160</v>
      </c>
      <c r="B42" t="s">
        <v>47</v>
      </c>
      <c r="C42" t="s">
        <v>47</v>
      </c>
      <c r="D42" t="s">
        <v>160</v>
      </c>
      <c r="E42" t="str">
        <f t="shared" si="0"/>
        <v>4.1.2. Propiedad</v>
      </c>
    </row>
    <row r="43" spans="1:5" x14ac:dyDescent="0.25">
      <c r="A43" t="s">
        <v>153</v>
      </c>
      <c r="B43" t="s">
        <v>37</v>
      </c>
      <c r="C43" t="s">
        <v>37</v>
      </c>
      <c r="D43" t="s">
        <v>153</v>
      </c>
      <c r="E43" t="str">
        <f t="shared" si="0"/>
        <v>4.1.3. Otros GA</v>
      </c>
    </row>
    <row r="44" spans="1:5" x14ac:dyDescent="0.25">
      <c r="A44" t="s">
        <v>201</v>
      </c>
      <c r="B44" t="s">
        <v>202</v>
      </c>
      <c r="C44" t="s">
        <v>65</v>
      </c>
      <c r="D44" t="s">
        <v>201</v>
      </c>
      <c r="E44" t="str">
        <f>CONCATENATE(A44," ",B44)</f>
        <v>5.1.1. Resultado antes de Prev.</v>
      </c>
    </row>
    <row r="45" spans="1:5" x14ac:dyDescent="0.25">
      <c r="A45" t="s">
        <v>203</v>
      </c>
      <c r="B45" t="s">
        <v>204</v>
      </c>
      <c r="C45" t="s">
        <v>26</v>
      </c>
      <c r="D45" t="s">
        <v>203</v>
      </c>
      <c r="E45" t="str">
        <f t="shared" si="0"/>
        <v>6.1.1. Ingresos Extraord. Netos</v>
      </c>
    </row>
    <row r="46" spans="1:5" x14ac:dyDescent="0.25">
      <c r="A46" t="s">
        <v>205</v>
      </c>
      <c r="B46" t="s">
        <v>206</v>
      </c>
      <c r="C46" t="s">
        <v>17</v>
      </c>
      <c r="D46" t="s">
        <v>205</v>
      </c>
      <c r="E46" t="str">
        <f t="shared" si="0"/>
        <v>6.1.2. Egresos Extraord. Netos</v>
      </c>
    </row>
    <row r="47" spans="1:5" x14ac:dyDescent="0.25">
      <c r="A47" t="s">
        <v>207</v>
      </c>
      <c r="B47" t="s">
        <v>5</v>
      </c>
      <c r="C47" t="s">
        <v>5</v>
      </c>
      <c r="D47" t="s">
        <v>207</v>
      </c>
      <c r="E47" t="str">
        <f t="shared" si="0"/>
        <v>7.1.1. Constitución de Previsiones</v>
      </c>
    </row>
    <row r="48" spans="1:5" x14ac:dyDescent="0.25">
      <c r="A48" t="s">
        <v>207</v>
      </c>
      <c r="B48" t="s">
        <v>13</v>
      </c>
      <c r="C48" t="s">
        <v>13</v>
      </c>
      <c r="D48" t="s">
        <v>207</v>
      </c>
      <c r="E48" t="str">
        <f t="shared" si="0"/>
        <v>7.1.1. Desafectación de Previsiones</v>
      </c>
    </row>
    <row r="49" spans="1:5" x14ac:dyDescent="0.25">
      <c r="A49" t="s">
        <v>208</v>
      </c>
      <c r="B49" t="s">
        <v>209</v>
      </c>
      <c r="C49" t="s">
        <v>66</v>
      </c>
      <c r="D49" t="s">
        <v>208</v>
      </c>
      <c r="E49" t="str">
        <f t="shared" si="0"/>
        <v>8.1.1. Util. antes de los Imp.</v>
      </c>
    </row>
    <row r="50" spans="1:5" x14ac:dyDescent="0.25">
      <c r="A50" t="s">
        <v>210</v>
      </c>
      <c r="B50" t="s">
        <v>77</v>
      </c>
      <c r="C50" t="s">
        <v>77</v>
      </c>
      <c r="D50" t="s">
        <v>210</v>
      </c>
      <c r="E50" t="str">
        <f t="shared" si="0"/>
        <v>9.1.1. Impuestos</v>
      </c>
    </row>
  </sheetData>
  <autoFilter ref="A1:D50" xr:uid="{FC21B7ED-0F5A-4DD5-88DC-CFE32D1B2784}"/>
  <sortState xmlns:xlrd2="http://schemas.microsoft.com/office/spreadsheetml/2017/richdata2" ref="A2:D50">
    <sortCondition ref="A2:A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6AD7-521F-4134-B6AB-461947B4F7B6}">
  <dimension ref="A1:E9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RowHeight="15" x14ac:dyDescent="0.25"/>
  <cols>
    <col min="1" max="1" width="10.85546875" bestFit="1" customWidth="1"/>
    <col min="2" max="2" width="35.5703125" bestFit="1" customWidth="1"/>
    <col min="3" max="3" width="55.140625" bestFit="1" customWidth="1"/>
    <col min="4" max="4" width="11" bestFit="1" customWidth="1"/>
    <col min="5" max="5" width="35.5703125" bestFit="1" customWidth="1"/>
  </cols>
  <sheetData>
    <row r="1" spans="1:5" x14ac:dyDescent="0.25">
      <c r="A1" s="1" t="s">
        <v>163</v>
      </c>
      <c r="B1" s="1" t="s">
        <v>164</v>
      </c>
      <c r="C1" s="1" t="s">
        <v>166</v>
      </c>
      <c r="D1" s="1" t="s">
        <v>165</v>
      </c>
      <c r="E1" s="1" t="s">
        <v>164</v>
      </c>
    </row>
    <row r="2" spans="1:5" x14ac:dyDescent="0.25">
      <c r="A2" t="s">
        <v>95</v>
      </c>
      <c r="B2" t="s">
        <v>3</v>
      </c>
      <c r="C2" t="s">
        <v>3</v>
      </c>
      <c r="D2" t="s">
        <v>95</v>
      </c>
      <c r="E2" t="str">
        <f>CONCATENATE(A2," ",B2)</f>
        <v>1.1.1. Caja y Bancos</v>
      </c>
    </row>
    <row r="3" spans="1:5" x14ac:dyDescent="0.25">
      <c r="A3" t="s">
        <v>96</v>
      </c>
      <c r="B3" t="s">
        <v>97</v>
      </c>
      <c r="C3" t="s">
        <v>18</v>
      </c>
      <c r="D3" t="s">
        <v>96</v>
      </c>
      <c r="E3" t="str">
        <f t="shared" ref="E3:E67" si="0">CONCATENATE(A3," ",B3)</f>
        <v>1.2.1. Encaje Legal</v>
      </c>
    </row>
    <row r="4" spans="1:5" x14ac:dyDescent="0.25">
      <c r="A4" t="s">
        <v>98</v>
      </c>
      <c r="B4" t="s">
        <v>99</v>
      </c>
      <c r="C4" t="s">
        <v>7</v>
      </c>
      <c r="D4" t="s">
        <v>98</v>
      </c>
      <c r="E4" t="str">
        <f t="shared" si="0"/>
        <v>1.2.2. Cuenta Corriente</v>
      </c>
    </row>
    <row r="5" spans="1:5" x14ac:dyDescent="0.25">
      <c r="A5" t="s">
        <v>100</v>
      </c>
      <c r="B5" t="s">
        <v>101</v>
      </c>
      <c r="C5" t="s">
        <v>12</v>
      </c>
      <c r="D5" t="s">
        <v>100</v>
      </c>
      <c r="E5" t="str">
        <f t="shared" si="0"/>
        <v>1.2.3. Depósitos por Op. Monetarias</v>
      </c>
    </row>
    <row r="6" spans="1:5" x14ac:dyDescent="0.25">
      <c r="A6" t="s">
        <v>102</v>
      </c>
      <c r="B6" t="s">
        <v>103</v>
      </c>
      <c r="C6" t="s">
        <v>36</v>
      </c>
      <c r="D6" t="s">
        <v>102</v>
      </c>
      <c r="E6" t="str">
        <f t="shared" si="0"/>
        <v>1.2.4. Otros - BCP</v>
      </c>
    </row>
    <row r="7" spans="1:5" x14ac:dyDescent="0.25">
      <c r="A7" t="s">
        <v>104</v>
      </c>
      <c r="B7" t="s">
        <v>59</v>
      </c>
      <c r="C7" t="s">
        <v>59</v>
      </c>
      <c r="D7" t="s">
        <v>104</v>
      </c>
      <c r="E7" t="str">
        <f t="shared" si="0"/>
        <v>1.3.1. Valores Públicos</v>
      </c>
    </row>
    <row r="8" spans="1:5" x14ac:dyDescent="0.25">
      <c r="A8" t="s">
        <v>105</v>
      </c>
      <c r="B8" t="s">
        <v>84</v>
      </c>
      <c r="C8" t="s">
        <v>84</v>
      </c>
      <c r="D8" t="s">
        <v>105</v>
      </c>
      <c r="E8" t="str">
        <f t="shared" si="0"/>
        <v>1.3.2. Valores Privados</v>
      </c>
    </row>
    <row r="9" spans="1:5" x14ac:dyDescent="0.25">
      <c r="A9" t="s">
        <v>106</v>
      </c>
      <c r="B9" t="s">
        <v>54</v>
      </c>
      <c r="C9" t="s">
        <v>54</v>
      </c>
      <c r="D9" t="s">
        <v>106</v>
      </c>
      <c r="E9" t="str">
        <f t="shared" si="0"/>
        <v>1.4.1. Sector Financiero</v>
      </c>
    </row>
    <row r="10" spans="1:5" x14ac:dyDescent="0.25">
      <c r="A10" t="s">
        <v>157</v>
      </c>
      <c r="B10" t="s">
        <v>27</v>
      </c>
      <c r="C10" t="s">
        <v>27</v>
      </c>
      <c r="D10" t="s">
        <v>157</v>
      </c>
      <c r="E10" t="str">
        <f t="shared" si="0"/>
        <v>1.4.2. Interbancario</v>
      </c>
    </row>
    <row r="11" spans="1:5" x14ac:dyDescent="0.25">
      <c r="A11" t="s">
        <v>107</v>
      </c>
      <c r="B11" t="s">
        <v>55</v>
      </c>
      <c r="C11" t="s">
        <v>55</v>
      </c>
      <c r="D11" t="s">
        <v>107</v>
      </c>
      <c r="E11" t="str">
        <f t="shared" si="0"/>
        <v>1.4.3. Sector No Financiero</v>
      </c>
    </row>
    <row r="12" spans="1:5" x14ac:dyDescent="0.25">
      <c r="A12" t="s">
        <v>108</v>
      </c>
      <c r="B12" t="s">
        <v>109</v>
      </c>
      <c r="C12" t="s">
        <v>6</v>
      </c>
      <c r="D12" t="s">
        <v>108</v>
      </c>
      <c r="E12" t="str">
        <f t="shared" si="0"/>
        <v>1.4.4. Créditos y Coloc. Vencidos</v>
      </c>
    </row>
    <row r="13" spans="1:5" x14ac:dyDescent="0.25">
      <c r="A13" t="s">
        <v>110</v>
      </c>
      <c r="B13" t="s">
        <v>111</v>
      </c>
      <c r="C13" t="s">
        <v>14</v>
      </c>
      <c r="D13" t="s">
        <v>110</v>
      </c>
      <c r="E13" t="str">
        <f t="shared" si="0"/>
        <v>1.4.5. Deudores con Arreglo y Cred. Morosos</v>
      </c>
    </row>
    <row r="14" spans="1:5" x14ac:dyDescent="0.25">
      <c r="A14" t="s">
        <v>112</v>
      </c>
      <c r="B14" t="s">
        <v>57</v>
      </c>
      <c r="C14" t="s">
        <v>57</v>
      </c>
      <c r="D14" t="s">
        <v>112</v>
      </c>
      <c r="E14" t="str">
        <f t="shared" si="0"/>
        <v>1.4.6. Total Previsiones</v>
      </c>
    </row>
    <row r="15" spans="1:5" x14ac:dyDescent="0.25">
      <c r="A15" t="s">
        <v>113</v>
      </c>
      <c r="B15" t="s">
        <v>114</v>
      </c>
      <c r="C15" t="s">
        <v>46</v>
      </c>
      <c r="D15" t="s">
        <v>113</v>
      </c>
      <c r="E15" t="str">
        <f t="shared" si="0"/>
        <v>1.5.1. Vigentes</v>
      </c>
    </row>
    <row r="16" spans="1:5" x14ac:dyDescent="0.25">
      <c r="A16" t="s">
        <v>115</v>
      </c>
      <c r="B16" t="s">
        <v>116</v>
      </c>
      <c r="C16" t="s">
        <v>45</v>
      </c>
      <c r="D16" t="s">
        <v>115</v>
      </c>
      <c r="E16" t="str">
        <f t="shared" si="0"/>
        <v>1.5.2. Vencidos</v>
      </c>
    </row>
    <row r="17" spans="1:5" x14ac:dyDescent="0.25">
      <c r="A17" t="s">
        <v>117</v>
      </c>
      <c r="B17" t="s">
        <v>118</v>
      </c>
      <c r="C17" t="s">
        <v>1</v>
      </c>
      <c r="D17" t="s">
        <v>117</v>
      </c>
      <c r="E17" t="str">
        <f t="shared" si="0"/>
        <v>1.6.1. Bienes Realizados y adj. en pago</v>
      </c>
    </row>
    <row r="18" spans="1:5" x14ac:dyDescent="0.25">
      <c r="A18" t="s">
        <v>119</v>
      </c>
      <c r="B18" t="s">
        <v>120</v>
      </c>
      <c r="C18" t="s">
        <v>44</v>
      </c>
      <c r="D18" t="s">
        <v>119</v>
      </c>
      <c r="E18" t="str">
        <f t="shared" si="0"/>
        <v>1.6.2. Prev. s/ bienes adjudicados</v>
      </c>
    </row>
    <row r="19" spans="1:5" x14ac:dyDescent="0.25">
      <c r="A19" t="s">
        <v>121</v>
      </c>
      <c r="B19" t="s">
        <v>122</v>
      </c>
      <c r="C19" t="s">
        <v>33</v>
      </c>
      <c r="D19" t="s">
        <v>121</v>
      </c>
      <c r="E19" t="str">
        <f t="shared" si="0"/>
        <v>1.6.3. Otras inversiones</v>
      </c>
    </row>
    <row r="20" spans="1:5" x14ac:dyDescent="0.25">
      <c r="A20" t="s">
        <v>123</v>
      </c>
      <c r="B20" t="s">
        <v>124</v>
      </c>
      <c r="C20" t="s">
        <v>73</v>
      </c>
      <c r="D20" t="s">
        <v>123</v>
      </c>
      <c r="E20" t="str">
        <f t="shared" si="0"/>
        <v>1.6.4. Previsiones</v>
      </c>
    </row>
    <row r="21" spans="1:5" x14ac:dyDescent="0.25">
      <c r="A21" t="s">
        <v>125</v>
      </c>
      <c r="B21" t="s">
        <v>2</v>
      </c>
      <c r="C21" t="s">
        <v>2</v>
      </c>
      <c r="D21" t="s">
        <v>125</v>
      </c>
      <c r="E21" t="str">
        <f t="shared" si="0"/>
        <v>1.7.1. Bienes de Uso</v>
      </c>
    </row>
    <row r="22" spans="1:5" x14ac:dyDescent="0.25">
      <c r="A22" t="s">
        <v>126</v>
      </c>
      <c r="B22" t="s">
        <v>127</v>
      </c>
      <c r="C22" t="s">
        <v>32</v>
      </c>
      <c r="D22" t="s">
        <v>126</v>
      </c>
      <c r="E22" t="str">
        <f t="shared" si="0"/>
        <v>1.8.1. Op. a Liquidar - Activo</v>
      </c>
    </row>
    <row r="23" spans="1:5" x14ac:dyDescent="0.25">
      <c r="A23" t="s">
        <v>128</v>
      </c>
      <c r="B23" t="s">
        <v>35</v>
      </c>
      <c r="C23" t="s">
        <v>35</v>
      </c>
      <c r="D23" t="s">
        <v>128</v>
      </c>
      <c r="E23" t="str">
        <f t="shared" si="0"/>
        <v>1.9.1. Otros Activos Netos</v>
      </c>
    </row>
    <row r="24" spans="1:5" x14ac:dyDescent="0.25">
      <c r="A24" t="s">
        <v>129</v>
      </c>
      <c r="B24" t="s">
        <v>130</v>
      </c>
      <c r="C24" t="s">
        <v>9</v>
      </c>
      <c r="D24" t="s">
        <v>129</v>
      </c>
      <c r="E24" t="str">
        <f t="shared" si="0"/>
        <v>2.1.1. Cta. Cte.</v>
      </c>
    </row>
    <row r="25" spans="1:5" x14ac:dyDescent="0.25">
      <c r="A25" t="s">
        <v>131</v>
      </c>
      <c r="B25" t="s">
        <v>132</v>
      </c>
      <c r="C25" t="s">
        <v>11</v>
      </c>
      <c r="D25" t="s">
        <v>131</v>
      </c>
      <c r="E25" t="str">
        <f t="shared" si="0"/>
        <v>2.1.2. A la Vista</v>
      </c>
    </row>
    <row r="26" spans="1:5" x14ac:dyDescent="0.25">
      <c r="A26" t="s">
        <v>133</v>
      </c>
      <c r="B26" t="s">
        <v>134</v>
      </c>
      <c r="C26" t="s">
        <v>10</v>
      </c>
      <c r="D26" t="s">
        <v>133</v>
      </c>
      <c r="E26" t="str">
        <f t="shared" si="0"/>
        <v>2.1.3. Plazo Fijo</v>
      </c>
    </row>
    <row r="27" spans="1:5" x14ac:dyDescent="0.25">
      <c r="A27" t="s">
        <v>135</v>
      </c>
      <c r="B27" t="s">
        <v>136</v>
      </c>
      <c r="C27" t="s">
        <v>8</v>
      </c>
      <c r="D27" t="s">
        <v>135</v>
      </c>
      <c r="E27" t="str">
        <f t="shared" si="0"/>
        <v>2.1.4. CDA</v>
      </c>
    </row>
    <row r="28" spans="1:5" x14ac:dyDescent="0.25">
      <c r="A28" t="s">
        <v>158</v>
      </c>
      <c r="B28" t="s">
        <v>94</v>
      </c>
      <c r="C28" t="s">
        <v>94</v>
      </c>
      <c r="D28" t="s">
        <v>158</v>
      </c>
      <c r="E28" t="str">
        <f t="shared" si="0"/>
        <v>2.1.5. Títulos de Inversión</v>
      </c>
    </row>
    <row r="29" spans="1:5" x14ac:dyDescent="0.25">
      <c r="A29" t="s">
        <v>137</v>
      </c>
      <c r="B29" t="s">
        <v>28</v>
      </c>
      <c r="C29" t="s">
        <v>28</v>
      </c>
      <c r="D29" t="s">
        <v>137</v>
      </c>
      <c r="E29" t="str">
        <f t="shared" si="0"/>
        <v>2.1.6. Intereses Devengados</v>
      </c>
    </row>
    <row r="30" spans="1:5" x14ac:dyDescent="0.25">
      <c r="A30" t="s">
        <v>138</v>
      </c>
      <c r="B30" t="s">
        <v>139</v>
      </c>
      <c r="C30" t="s">
        <v>41</v>
      </c>
      <c r="D30" t="s">
        <v>138</v>
      </c>
      <c r="E30" t="str">
        <f t="shared" si="0"/>
        <v>2.2.1. Otros Valores Emitidos</v>
      </c>
    </row>
    <row r="31" spans="1:5" x14ac:dyDescent="0.25">
      <c r="A31" t="s">
        <v>140</v>
      </c>
      <c r="B31" t="s">
        <v>75</v>
      </c>
      <c r="C31" t="s">
        <v>75</v>
      </c>
      <c r="D31" t="s">
        <v>140</v>
      </c>
      <c r="E31" t="str">
        <f t="shared" si="0"/>
        <v>2.3.1. BCP - Pasivo</v>
      </c>
    </row>
    <row r="32" spans="1:5" x14ac:dyDescent="0.25">
      <c r="A32" t="s">
        <v>141</v>
      </c>
      <c r="B32" t="s">
        <v>142</v>
      </c>
      <c r="C32" t="s">
        <v>31</v>
      </c>
      <c r="D32" t="s">
        <v>141</v>
      </c>
      <c r="E32" t="str">
        <f t="shared" si="0"/>
        <v>2.4.1. Op. a Liquidar - Pasivo</v>
      </c>
    </row>
    <row r="33" spans="1:5" x14ac:dyDescent="0.25">
      <c r="A33" t="s">
        <v>143</v>
      </c>
      <c r="B33" t="s">
        <v>83</v>
      </c>
      <c r="C33" t="s">
        <v>83</v>
      </c>
      <c r="D33" t="s">
        <v>143</v>
      </c>
      <c r="E33" t="str">
        <f t="shared" si="0"/>
        <v>2.5.1. Interbancarios</v>
      </c>
    </row>
    <row r="34" spans="1:5" x14ac:dyDescent="0.25">
      <c r="A34" t="s">
        <v>144</v>
      </c>
      <c r="B34" t="s">
        <v>29</v>
      </c>
      <c r="C34" t="s">
        <v>29</v>
      </c>
      <c r="D34" t="s">
        <v>144</v>
      </c>
      <c r="E34" t="str">
        <f t="shared" si="0"/>
        <v>2.6.1. Interno</v>
      </c>
    </row>
    <row r="35" spans="1:5" x14ac:dyDescent="0.25">
      <c r="A35" t="s">
        <v>145</v>
      </c>
      <c r="B35" t="s">
        <v>19</v>
      </c>
      <c r="C35" t="s">
        <v>19</v>
      </c>
      <c r="D35" t="s">
        <v>145</v>
      </c>
      <c r="E35" t="str">
        <f t="shared" si="0"/>
        <v>2.6.2. Externo</v>
      </c>
    </row>
    <row r="36" spans="1:5" x14ac:dyDescent="0.25">
      <c r="A36" t="s">
        <v>146</v>
      </c>
      <c r="B36" t="s">
        <v>40</v>
      </c>
      <c r="C36" t="s">
        <v>40</v>
      </c>
      <c r="D36" t="s">
        <v>146</v>
      </c>
      <c r="E36" t="str">
        <f t="shared" si="0"/>
        <v>2.7.1. Otros Pasivos</v>
      </c>
    </row>
    <row r="37" spans="1:5" x14ac:dyDescent="0.25">
      <c r="A37" t="s">
        <v>147</v>
      </c>
      <c r="B37" t="s">
        <v>4</v>
      </c>
      <c r="C37" t="s">
        <v>4</v>
      </c>
      <c r="D37" t="s">
        <v>147</v>
      </c>
      <c r="E37" t="str">
        <f t="shared" si="0"/>
        <v>3.1.1. Capital Integrado</v>
      </c>
    </row>
    <row r="38" spans="1:5" x14ac:dyDescent="0.25">
      <c r="A38" t="s">
        <v>159</v>
      </c>
      <c r="B38" t="s">
        <v>76</v>
      </c>
      <c r="C38" t="s">
        <v>76</v>
      </c>
      <c r="D38" t="s">
        <v>159</v>
      </c>
      <c r="E38" t="str">
        <f t="shared" si="0"/>
        <v>3.1.2. Capital Secundario</v>
      </c>
    </row>
    <row r="39" spans="1:5" x14ac:dyDescent="0.25">
      <c r="A39" t="s">
        <v>148</v>
      </c>
      <c r="B39" t="s">
        <v>86</v>
      </c>
      <c r="C39" t="s">
        <v>86</v>
      </c>
      <c r="D39" t="s">
        <v>148</v>
      </c>
      <c r="E39" t="str">
        <f t="shared" si="0"/>
        <v>3.1.3. Aportes no Capitalizados</v>
      </c>
    </row>
    <row r="40" spans="1:5" x14ac:dyDescent="0.25">
      <c r="A40" t="s">
        <v>149</v>
      </c>
      <c r="B40" t="s">
        <v>52</v>
      </c>
      <c r="C40" t="s">
        <v>52</v>
      </c>
      <c r="D40" t="s">
        <v>149</v>
      </c>
      <c r="E40" t="str">
        <f t="shared" si="0"/>
        <v>3.2.1. Reserva Legal</v>
      </c>
    </row>
    <row r="41" spans="1:5" x14ac:dyDescent="0.25">
      <c r="A41" t="s">
        <v>150</v>
      </c>
      <c r="B41" t="s">
        <v>34</v>
      </c>
      <c r="C41" t="s">
        <v>34</v>
      </c>
      <c r="D41" t="s">
        <v>150</v>
      </c>
      <c r="E41" t="str">
        <f t="shared" si="0"/>
        <v>3.2.2. Otras Reservas</v>
      </c>
    </row>
    <row r="42" spans="1:5" x14ac:dyDescent="0.25">
      <c r="A42" t="s">
        <v>151</v>
      </c>
      <c r="B42" t="s">
        <v>53</v>
      </c>
      <c r="C42" t="s">
        <v>53</v>
      </c>
      <c r="D42" t="s">
        <v>151</v>
      </c>
      <c r="E42" t="str">
        <f t="shared" si="0"/>
        <v>3.3.1. Resultados Acumulados</v>
      </c>
    </row>
    <row r="43" spans="1:5" x14ac:dyDescent="0.25">
      <c r="A43" t="s">
        <v>152</v>
      </c>
      <c r="B43" t="s">
        <v>58</v>
      </c>
      <c r="C43" t="s">
        <v>58</v>
      </c>
      <c r="D43" t="s">
        <v>152</v>
      </c>
      <c r="E43" t="str">
        <f t="shared" si="0"/>
        <v>3.4.1. Utilidad del Ejercicio</v>
      </c>
    </row>
    <row r="44" spans="1:5" x14ac:dyDescent="0.25">
      <c r="A44" t="s">
        <v>160</v>
      </c>
      <c r="B44" t="s">
        <v>85</v>
      </c>
      <c r="C44" t="s">
        <v>85</v>
      </c>
      <c r="D44" t="s">
        <v>160</v>
      </c>
      <c r="E44" t="str">
        <f t="shared" si="0"/>
        <v>4.1.2. Aceptaciones</v>
      </c>
    </row>
    <row r="45" spans="1:5" x14ac:dyDescent="0.25">
      <c r="A45" t="s">
        <v>153</v>
      </c>
      <c r="B45" t="s">
        <v>70</v>
      </c>
      <c r="C45" t="s">
        <v>70</v>
      </c>
      <c r="D45" t="s">
        <v>153</v>
      </c>
      <c r="E45" t="str">
        <f t="shared" si="0"/>
        <v>4.1.3. Garantías Otorgadas</v>
      </c>
    </row>
    <row r="46" spans="1:5" x14ac:dyDescent="0.25">
      <c r="A46" t="s">
        <v>154</v>
      </c>
      <c r="B46" t="s">
        <v>68</v>
      </c>
      <c r="C46" t="s">
        <v>68</v>
      </c>
      <c r="D46" t="s">
        <v>154</v>
      </c>
      <c r="E46" t="str">
        <f t="shared" si="0"/>
        <v>4.1.4. Créditos Documentarios</v>
      </c>
    </row>
    <row r="47" spans="1:5" x14ac:dyDescent="0.25">
      <c r="A47" t="s">
        <v>155</v>
      </c>
      <c r="B47" t="s">
        <v>156</v>
      </c>
      <c r="C47" t="s">
        <v>30</v>
      </c>
      <c r="D47" t="s">
        <v>155</v>
      </c>
      <c r="E47" t="str">
        <f t="shared" si="0"/>
        <v>4.1.5. Líneas de créditos acordadas</v>
      </c>
    </row>
    <row r="48" spans="1:5" x14ac:dyDescent="0.25">
      <c r="A48" t="s">
        <v>161</v>
      </c>
      <c r="B48" t="s">
        <v>162</v>
      </c>
      <c r="C48" t="s">
        <v>81</v>
      </c>
      <c r="D48" t="s">
        <v>161</v>
      </c>
      <c r="E48" t="str">
        <f t="shared" si="0"/>
        <v>4.1.6. Otros</v>
      </c>
    </row>
    <row r="50" spans="1:5" x14ac:dyDescent="0.25">
      <c r="A50" t="s">
        <v>95</v>
      </c>
      <c r="B50" t="s">
        <v>167</v>
      </c>
      <c r="C50" t="s">
        <v>21</v>
      </c>
      <c r="D50" t="s">
        <v>95</v>
      </c>
      <c r="E50" t="str">
        <f t="shared" si="0"/>
        <v>1.1.1. Ganan. Créd. Vig. p/ Inter. Finan. S.F.</v>
      </c>
    </row>
    <row r="51" spans="1:5" x14ac:dyDescent="0.25">
      <c r="A51" t="s">
        <v>168</v>
      </c>
      <c r="B51" t="s">
        <v>169</v>
      </c>
      <c r="C51" t="s">
        <v>22</v>
      </c>
      <c r="D51" t="s">
        <v>168</v>
      </c>
      <c r="E51" t="str">
        <f t="shared" si="0"/>
        <v>1.1.2. Ganan. Créd. Vig. p/ Inter. Finan. S.N.F.</v>
      </c>
    </row>
    <row r="52" spans="1:5" x14ac:dyDescent="0.25">
      <c r="A52" t="s">
        <v>170</v>
      </c>
      <c r="B52" t="s">
        <v>171</v>
      </c>
      <c r="C52" t="s">
        <v>20</v>
      </c>
      <c r="D52" t="s">
        <v>170</v>
      </c>
      <c r="E52" t="str">
        <f t="shared" si="0"/>
        <v>1.1.3. Ganan. Créd. Ven. p/ Inter. Finan.</v>
      </c>
    </row>
    <row r="53" spans="1:5" x14ac:dyDescent="0.25">
      <c r="A53" t="s">
        <v>172</v>
      </c>
      <c r="B53" t="s">
        <v>173</v>
      </c>
      <c r="C53" t="s">
        <v>80</v>
      </c>
      <c r="D53" t="s">
        <v>172</v>
      </c>
      <c r="E53" t="str">
        <f t="shared" si="0"/>
        <v>1.1.5. Rentas y Difer. de Cotiz. De Val. Públicos y Priv.</v>
      </c>
    </row>
    <row r="54" spans="1:5" x14ac:dyDescent="0.25">
      <c r="A54" t="s">
        <v>96</v>
      </c>
      <c r="B54" t="s">
        <v>56</v>
      </c>
      <c r="C54" t="s">
        <v>56</v>
      </c>
      <c r="D54" t="s">
        <v>96</v>
      </c>
      <c r="E54" t="str">
        <f t="shared" si="0"/>
        <v>1.2.1. Tarjetas de Crédito</v>
      </c>
    </row>
    <row r="55" spans="1:5" x14ac:dyDescent="0.25">
      <c r="A55" t="s">
        <v>98</v>
      </c>
      <c r="B55" t="s">
        <v>174</v>
      </c>
      <c r="C55" t="s">
        <v>25</v>
      </c>
      <c r="D55" t="s">
        <v>98</v>
      </c>
      <c r="E55" t="str">
        <f t="shared" si="0"/>
        <v>1.2.2. Giros, transfer. y órdenes de pago</v>
      </c>
    </row>
    <row r="56" spans="1:5" x14ac:dyDescent="0.25">
      <c r="A56" t="s">
        <v>102</v>
      </c>
      <c r="B56" t="s">
        <v>175</v>
      </c>
      <c r="C56" t="s">
        <v>0</v>
      </c>
      <c r="D56" t="s">
        <v>102</v>
      </c>
      <c r="E56" t="str">
        <f t="shared" si="0"/>
        <v>1.2.4. Admin. de Cuentas Corrientes</v>
      </c>
    </row>
    <row r="57" spans="1:5" x14ac:dyDescent="0.25">
      <c r="A57" t="s">
        <v>176</v>
      </c>
      <c r="B57" t="s">
        <v>162</v>
      </c>
      <c r="C57" t="s">
        <v>39</v>
      </c>
      <c r="D57" t="s">
        <v>176</v>
      </c>
      <c r="E57" t="str">
        <f t="shared" si="0"/>
        <v>1.2.5. Otros</v>
      </c>
    </row>
    <row r="58" spans="1:5" x14ac:dyDescent="0.25">
      <c r="A58" t="s">
        <v>104</v>
      </c>
      <c r="B58" t="s">
        <v>177</v>
      </c>
      <c r="C58" t="s">
        <v>23</v>
      </c>
      <c r="D58" t="s">
        <v>104</v>
      </c>
      <c r="E58" t="str">
        <f t="shared" si="0"/>
        <v>1.3.1. Ganancias por Op. De C&amp;A</v>
      </c>
    </row>
    <row r="59" spans="1:5" x14ac:dyDescent="0.25">
      <c r="A59" t="s">
        <v>243</v>
      </c>
      <c r="B59" t="s">
        <v>246</v>
      </c>
      <c r="C59" t="s">
        <v>245</v>
      </c>
      <c r="D59" t="s">
        <v>243</v>
      </c>
      <c r="E59" t="str">
        <f t="shared" si="0"/>
        <v>1.3.2 Ganancias por Op. De C&amp;A no Resid.</v>
      </c>
    </row>
    <row r="60" spans="1:5" x14ac:dyDescent="0.25">
      <c r="A60" t="s">
        <v>107</v>
      </c>
      <c r="B60" t="s">
        <v>211</v>
      </c>
      <c r="C60" t="s">
        <v>90</v>
      </c>
      <c r="D60" t="s">
        <v>107</v>
      </c>
      <c r="E60" t="str">
        <f t="shared" si="0"/>
        <v>1.4.3. Con Valores Públicos Nac.</v>
      </c>
    </row>
    <row r="61" spans="1:5" x14ac:dyDescent="0.25">
      <c r="A61" t="s">
        <v>110</v>
      </c>
      <c r="B61" t="s">
        <v>212</v>
      </c>
      <c r="C61" t="s">
        <v>91</v>
      </c>
      <c r="D61" t="s">
        <v>110</v>
      </c>
      <c r="E61" t="str">
        <f t="shared" si="0"/>
        <v>1.4.5. Con otros Valores Mobiliarios</v>
      </c>
    </row>
    <row r="62" spans="1:5" x14ac:dyDescent="0.25">
      <c r="A62" t="s">
        <v>178</v>
      </c>
      <c r="B62" t="s">
        <v>179</v>
      </c>
      <c r="C62" t="s">
        <v>93</v>
      </c>
      <c r="D62" t="s">
        <v>178</v>
      </c>
      <c r="E62" t="str">
        <f t="shared" si="0"/>
        <v>1.4.7. Con Contratos Forward</v>
      </c>
    </row>
    <row r="63" spans="1:5" x14ac:dyDescent="0.25">
      <c r="A63" t="s">
        <v>113</v>
      </c>
      <c r="B63" t="s">
        <v>24</v>
      </c>
      <c r="C63" t="s">
        <v>24</v>
      </c>
      <c r="D63" t="s">
        <v>113</v>
      </c>
      <c r="E63" t="str">
        <f t="shared" si="0"/>
        <v>1.5.1. Ganancias por Valuación - Financiero</v>
      </c>
    </row>
    <row r="64" spans="1:5" x14ac:dyDescent="0.25">
      <c r="A64" t="s">
        <v>115</v>
      </c>
      <c r="B64" t="s">
        <v>69</v>
      </c>
      <c r="C64" t="s">
        <v>69</v>
      </c>
      <c r="D64" t="s">
        <v>115</v>
      </c>
      <c r="E64" t="str">
        <f t="shared" si="0"/>
        <v>1.5.2. Ganancias por Valuación - Diversos</v>
      </c>
    </row>
    <row r="65" spans="1:5" x14ac:dyDescent="0.25">
      <c r="A65" t="s">
        <v>117</v>
      </c>
      <c r="B65" t="s">
        <v>180</v>
      </c>
      <c r="C65" t="s">
        <v>38</v>
      </c>
      <c r="D65" t="s">
        <v>117</v>
      </c>
      <c r="E65" t="str">
        <f t="shared" si="0"/>
        <v>1.6.1. Ganancias por Créditos Diversos</v>
      </c>
    </row>
    <row r="66" spans="1:5" x14ac:dyDescent="0.25">
      <c r="A66" t="s">
        <v>119</v>
      </c>
      <c r="B66" t="s">
        <v>213</v>
      </c>
      <c r="C66" t="s">
        <v>72</v>
      </c>
      <c r="D66" t="s">
        <v>119</v>
      </c>
      <c r="E66" t="str">
        <f t="shared" si="0"/>
        <v>1.6.2. Rentas</v>
      </c>
    </row>
    <row r="67" spans="1:5" x14ac:dyDescent="0.25">
      <c r="A67" t="s">
        <v>121</v>
      </c>
      <c r="B67" t="s">
        <v>181</v>
      </c>
      <c r="C67" t="s">
        <v>71</v>
      </c>
      <c r="D67" t="s">
        <v>121</v>
      </c>
      <c r="E67" t="str">
        <f t="shared" si="0"/>
        <v>1.6.3. Otras Ganancias Diversas</v>
      </c>
    </row>
    <row r="68" spans="1:5" x14ac:dyDescent="0.25">
      <c r="A68" t="s">
        <v>182</v>
      </c>
      <c r="B68" t="s">
        <v>183</v>
      </c>
      <c r="C68" t="s">
        <v>87</v>
      </c>
      <c r="D68" t="s">
        <v>182</v>
      </c>
      <c r="E68" t="str">
        <f t="shared" ref="E68:E98" si="1">CONCATENATE(A68," ",B68)</f>
        <v>1.6.5. Fideicomisos</v>
      </c>
    </row>
    <row r="69" spans="1:5" x14ac:dyDescent="0.25">
      <c r="A69" t="s">
        <v>184</v>
      </c>
      <c r="B69" t="s">
        <v>185</v>
      </c>
      <c r="C69" t="s">
        <v>67</v>
      </c>
      <c r="D69" t="s">
        <v>184</v>
      </c>
      <c r="E69" t="str">
        <f t="shared" si="1"/>
        <v>10.1.1. Utilidad a Distribuir</v>
      </c>
    </row>
    <row r="70" spans="1:5" x14ac:dyDescent="0.25">
      <c r="A70" t="s">
        <v>129</v>
      </c>
      <c r="B70" t="s">
        <v>48</v>
      </c>
      <c r="C70" t="s">
        <v>48</v>
      </c>
      <c r="D70" t="s">
        <v>129</v>
      </c>
      <c r="E70" t="str">
        <f t="shared" si="1"/>
        <v>2.1.1. Pérd. Oblig. Inter. Finan. S.F.</v>
      </c>
    </row>
    <row r="71" spans="1:5" x14ac:dyDescent="0.25">
      <c r="A71" t="s">
        <v>131</v>
      </c>
      <c r="B71" t="s">
        <v>49</v>
      </c>
      <c r="C71" t="s">
        <v>49</v>
      </c>
      <c r="D71" t="s">
        <v>131</v>
      </c>
      <c r="E71" t="str">
        <f t="shared" si="1"/>
        <v>2.1.2. Pérd. Oblig. Inter. Finan. S.N.F.</v>
      </c>
    </row>
    <row r="72" spans="1:5" x14ac:dyDescent="0.25">
      <c r="A72" t="s">
        <v>133</v>
      </c>
      <c r="B72" t="s">
        <v>186</v>
      </c>
      <c r="C72" t="s">
        <v>15</v>
      </c>
      <c r="D72" t="s">
        <v>133</v>
      </c>
      <c r="E72" t="str">
        <f t="shared" si="1"/>
        <v>2.1.3. Diferencias de Cotiz. De Val. Públicos y Priv.</v>
      </c>
    </row>
    <row r="73" spans="1:5" x14ac:dyDescent="0.25">
      <c r="A73" t="s">
        <v>138</v>
      </c>
      <c r="B73" t="s">
        <v>214</v>
      </c>
      <c r="C73" t="s">
        <v>82</v>
      </c>
      <c r="D73" t="s">
        <v>138</v>
      </c>
      <c r="E73" t="str">
        <f t="shared" si="1"/>
        <v>2.2.1. Comisones pagad. a corres. En el Exterior</v>
      </c>
    </row>
    <row r="74" spans="1:5" x14ac:dyDescent="0.25">
      <c r="A74" t="s">
        <v>187</v>
      </c>
      <c r="B74" t="s">
        <v>188</v>
      </c>
      <c r="C74" t="s">
        <v>42</v>
      </c>
      <c r="D74" t="s">
        <v>187</v>
      </c>
      <c r="E74" t="str">
        <f t="shared" si="1"/>
        <v>2.2.3. Giros, Transfer. y Órdenes de Pago</v>
      </c>
    </row>
    <row r="75" spans="1:5" x14ac:dyDescent="0.25">
      <c r="A75" t="s">
        <v>189</v>
      </c>
      <c r="B75" t="s">
        <v>190</v>
      </c>
      <c r="C75" t="s">
        <v>16</v>
      </c>
      <c r="D75" t="s">
        <v>189</v>
      </c>
      <c r="E75" t="str">
        <f t="shared" si="1"/>
        <v>2.2.4. Pérdidas por Servicios - Diversos</v>
      </c>
    </row>
    <row r="76" spans="1:5" x14ac:dyDescent="0.25">
      <c r="A76" t="s">
        <v>140</v>
      </c>
      <c r="B76" t="s">
        <v>191</v>
      </c>
      <c r="C76" t="s">
        <v>50</v>
      </c>
      <c r="D76" t="s">
        <v>140</v>
      </c>
      <c r="E76" t="str">
        <f t="shared" si="1"/>
        <v>2.3.1. Pérdidas por Op. de C&amp;A</v>
      </c>
    </row>
    <row r="77" spans="1:5" x14ac:dyDescent="0.25">
      <c r="A77" t="s">
        <v>215</v>
      </c>
      <c r="B77" t="s">
        <v>211</v>
      </c>
      <c r="C77" t="s">
        <v>78</v>
      </c>
      <c r="D77" t="s">
        <v>215</v>
      </c>
      <c r="E77" t="str">
        <f t="shared" si="1"/>
        <v>2.4.2. Con Valores Públicos Nac.</v>
      </c>
    </row>
    <row r="78" spans="1:5" x14ac:dyDescent="0.25">
      <c r="A78" t="s">
        <v>216</v>
      </c>
      <c r="B78" t="s">
        <v>212</v>
      </c>
      <c r="C78" t="s">
        <v>89</v>
      </c>
      <c r="D78" t="s">
        <v>216</v>
      </c>
      <c r="E78" t="str">
        <f t="shared" si="1"/>
        <v>2.4.4. Con otros Valores Mobiliarios</v>
      </c>
    </row>
    <row r="79" spans="1:5" x14ac:dyDescent="0.25">
      <c r="A79" t="s">
        <v>192</v>
      </c>
      <c r="B79" t="s">
        <v>179</v>
      </c>
      <c r="C79" t="s">
        <v>92</v>
      </c>
      <c r="D79" t="s">
        <v>192</v>
      </c>
      <c r="E79" t="str">
        <f t="shared" si="1"/>
        <v>2.4.5. Con Contratos Forward</v>
      </c>
    </row>
    <row r="80" spans="1:5" x14ac:dyDescent="0.25">
      <c r="A80" t="s">
        <v>143</v>
      </c>
      <c r="B80" t="s">
        <v>51</v>
      </c>
      <c r="C80" t="s">
        <v>51</v>
      </c>
      <c r="D80" t="s">
        <v>143</v>
      </c>
      <c r="E80" t="str">
        <f t="shared" si="1"/>
        <v>2.5.1. Pérdidas por Valuación - Financiero</v>
      </c>
    </row>
    <row r="81" spans="1:5" x14ac:dyDescent="0.25">
      <c r="A81" t="s">
        <v>193</v>
      </c>
      <c r="B81" t="s">
        <v>74</v>
      </c>
      <c r="C81" t="s">
        <v>74</v>
      </c>
      <c r="D81" t="s">
        <v>193</v>
      </c>
      <c r="E81" t="str">
        <f t="shared" si="1"/>
        <v>2.5.2. Pérdidas por Valuación - Diversos</v>
      </c>
    </row>
    <row r="82" spans="1:5" x14ac:dyDescent="0.25">
      <c r="A82" t="s">
        <v>145</v>
      </c>
      <c r="B82" t="s">
        <v>88</v>
      </c>
      <c r="C82" t="s">
        <v>88</v>
      </c>
      <c r="D82" t="s">
        <v>145</v>
      </c>
      <c r="E82" t="str">
        <f t="shared" si="1"/>
        <v>2.6.2. Pérdidas por Obligaciones Diversas</v>
      </c>
    </row>
    <row r="83" spans="1:5" x14ac:dyDescent="0.25">
      <c r="A83" t="s">
        <v>147</v>
      </c>
      <c r="B83" t="s">
        <v>60</v>
      </c>
      <c r="C83" t="s">
        <v>60</v>
      </c>
      <c r="D83" t="s">
        <v>147</v>
      </c>
      <c r="E83" t="str">
        <f t="shared" si="1"/>
        <v>3.1.1. Margen Financiero</v>
      </c>
    </row>
    <row r="84" spans="1:5" x14ac:dyDescent="0.25">
      <c r="A84" t="s">
        <v>159</v>
      </c>
      <c r="B84" t="s">
        <v>62</v>
      </c>
      <c r="C84" t="s">
        <v>62</v>
      </c>
      <c r="D84" t="s">
        <v>159</v>
      </c>
      <c r="E84" t="str">
        <f t="shared" si="1"/>
        <v>3.1.2. Margen por servicios</v>
      </c>
    </row>
    <row r="85" spans="1:5" x14ac:dyDescent="0.25">
      <c r="A85" t="s">
        <v>148</v>
      </c>
      <c r="B85" t="s">
        <v>194</v>
      </c>
      <c r="C85" t="s">
        <v>63</v>
      </c>
      <c r="D85" t="s">
        <v>148</v>
      </c>
      <c r="E85" t="str">
        <f t="shared" si="1"/>
        <v>3.1.3. Margen por Op. de C&amp;A</v>
      </c>
    </row>
    <row r="86" spans="1:5" x14ac:dyDescent="0.25">
      <c r="A86" t="s">
        <v>195</v>
      </c>
      <c r="B86" t="s">
        <v>196</v>
      </c>
      <c r="C86" t="s">
        <v>79</v>
      </c>
      <c r="D86" t="s">
        <v>195</v>
      </c>
      <c r="E86" t="str">
        <f t="shared" si="1"/>
        <v>3.1.4. Margen por Op. - Otros Valores</v>
      </c>
    </row>
    <row r="87" spans="1:5" x14ac:dyDescent="0.25">
      <c r="A87" t="s">
        <v>197</v>
      </c>
      <c r="B87" t="s">
        <v>64</v>
      </c>
      <c r="C87" t="s">
        <v>64</v>
      </c>
      <c r="D87" t="s">
        <v>197</v>
      </c>
      <c r="E87" t="str">
        <f t="shared" si="1"/>
        <v>3.1.5. Margen por valuación</v>
      </c>
    </row>
    <row r="88" spans="1:5" x14ac:dyDescent="0.25">
      <c r="A88" t="s">
        <v>198</v>
      </c>
      <c r="B88" t="s">
        <v>199</v>
      </c>
      <c r="C88" t="s">
        <v>61</v>
      </c>
      <c r="D88" t="s">
        <v>198</v>
      </c>
      <c r="E88" t="str">
        <f t="shared" si="1"/>
        <v>3.1.6. Margen por Otros Ingresos Operat.</v>
      </c>
    </row>
    <row r="89" spans="1:5" x14ac:dyDescent="0.25">
      <c r="A89" t="s">
        <v>200</v>
      </c>
      <c r="B89" t="s">
        <v>43</v>
      </c>
      <c r="C89" t="s">
        <v>43</v>
      </c>
      <c r="D89" t="s">
        <v>200</v>
      </c>
      <c r="E89" t="str">
        <f t="shared" si="1"/>
        <v>4.1.1. Personal</v>
      </c>
    </row>
    <row r="90" spans="1:5" x14ac:dyDescent="0.25">
      <c r="A90" t="s">
        <v>160</v>
      </c>
      <c r="B90" t="s">
        <v>47</v>
      </c>
      <c r="C90" t="s">
        <v>47</v>
      </c>
      <c r="D90" t="s">
        <v>160</v>
      </c>
      <c r="E90" t="str">
        <f t="shared" si="1"/>
        <v>4.1.2. Propiedad</v>
      </c>
    </row>
    <row r="91" spans="1:5" x14ac:dyDescent="0.25">
      <c r="A91" t="s">
        <v>153</v>
      </c>
      <c r="B91" t="s">
        <v>37</v>
      </c>
      <c r="C91" t="s">
        <v>37</v>
      </c>
      <c r="D91" t="s">
        <v>153</v>
      </c>
      <c r="E91" t="str">
        <f t="shared" si="1"/>
        <v>4.1.3. Otros GA</v>
      </c>
    </row>
    <row r="92" spans="1:5" x14ac:dyDescent="0.25">
      <c r="A92" t="s">
        <v>201</v>
      </c>
      <c r="B92" t="s">
        <v>202</v>
      </c>
      <c r="C92" t="s">
        <v>65</v>
      </c>
      <c r="D92" t="s">
        <v>201</v>
      </c>
      <c r="E92" t="str">
        <f t="shared" si="1"/>
        <v>5.1.1. Resultado antes de Prev.</v>
      </c>
    </row>
    <row r="93" spans="1:5" x14ac:dyDescent="0.25">
      <c r="A93" t="s">
        <v>203</v>
      </c>
      <c r="B93" t="s">
        <v>204</v>
      </c>
      <c r="C93" t="s">
        <v>26</v>
      </c>
      <c r="D93" t="s">
        <v>203</v>
      </c>
      <c r="E93" t="str">
        <f t="shared" si="1"/>
        <v>6.1.1. Ingresos Extraord. Netos</v>
      </c>
    </row>
    <row r="94" spans="1:5" x14ac:dyDescent="0.25">
      <c r="A94" t="s">
        <v>205</v>
      </c>
      <c r="B94" t="s">
        <v>206</v>
      </c>
      <c r="C94" t="s">
        <v>17</v>
      </c>
      <c r="D94" t="s">
        <v>205</v>
      </c>
      <c r="E94" t="str">
        <f t="shared" si="1"/>
        <v>6.1.2. Egresos Extraord. Netos</v>
      </c>
    </row>
    <row r="95" spans="1:5" x14ac:dyDescent="0.25">
      <c r="A95" t="s">
        <v>207</v>
      </c>
      <c r="B95" t="s">
        <v>5</v>
      </c>
      <c r="C95" t="s">
        <v>5</v>
      </c>
      <c r="D95" t="s">
        <v>207</v>
      </c>
      <c r="E95" t="str">
        <f t="shared" si="1"/>
        <v>7.1.1. Constitución de Previsiones</v>
      </c>
    </row>
    <row r="96" spans="1:5" x14ac:dyDescent="0.25">
      <c r="A96" t="s">
        <v>207</v>
      </c>
      <c r="B96" t="s">
        <v>13</v>
      </c>
      <c r="C96" t="s">
        <v>13</v>
      </c>
      <c r="D96" t="s">
        <v>207</v>
      </c>
      <c r="E96" t="str">
        <f t="shared" si="1"/>
        <v>7.1.1. Desafectación de Previsiones</v>
      </c>
    </row>
    <row r="97" spans="1:5" x14ac:dyDescent="0.25">
      <c r="A97" t="s">
        <v>208</v>
      </c>
      <c r="B97" t="s">
        <v>209</v>
      </c>
      <c r="C97" t="s">
        <v>66</v>
      </c>
      <c r="D97" t="s">
        <v>208</v>
      </c>
      <c r="E97" t="str">
        <f t="shared" si="1"/>
        <v>8.1.1. Util. antes de los Imp.</v>
      </c>
    </row>
    <row r="98" spans="1:5" x14ac:dyDescent="0.25">
      <c r="A98" t="s">
        <v>210</v>
      </c>
      <c r="B98" t="s">
        <v>77</v>
      </c>
      <c r="C98" t="s">
        <v>77</v>
      </c>
      <c r="D98" t="s">
        <v>210</v>
      </c>
      <c r="E98" t="str">
        <f t="shared" si="1"/>
        <v>9.1.1. Impuestos</v>
      </c>
    </row>
  </sheetData>
  <autoFilter ref="A1:D98" xr:uid="{ECB56AD7-521F-4134-B6AB-461947B4F7B6}"/>
  <conditionalFormatting sqref="C2:C31 C33:C58 C60:C98">
    <cfRule type="duplicateValues" dxfId="3" priority="3"/>
  </conditionalFormatting>
  <conditionalFormatting sqref="C32">
    <cfRule type="duplicateValues" dxfId="2" priority="1"/>
  </conditionalFormatting>
  <conditionalFormatting sqref="C100">
    <cfRule type="duplicateValues" dxfId="1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3E12-6283-450C-B088-A5274088F8FB}">
  <dimension ref="A1:C18"/>
  <sheetViews>
    <sheetView showGridLines="0" workbookViewId="0">
      <selection activeCell="A2" sqref="A2:XFD2"/>
    </sheetView>
  </sheetViews>
  <sheetFormatPr defaultRowHeight="15" x14ac:dyDescent="0.25"/>
  <cols>
    <col min="1" max="1" width="41.42578125" bestFit="1" customWidth="1"/>
    <col min="2" max="2" width="36.7109375" customWidth="1"/>
    <col min="3" max="3" width="41.42578125" bestFit="1" customWidth="1"/>
  </cols>
  <sheetData>
    <row r="1" spans="1:3" x14ac:dyDescent="0.25">
      <c r="A1" s="1" t="s">
        <v>163</v>
      </c>
      <c r="B1" s="1" t="s">
        <v>164</v>
      </c>
      <c r="C1" s="1" t="s">
        <v>247</v>
      </c>
    </row>
    <row r="2" spans="1:3" x14ac:dyDescent="0.25">
      <c r="A2" t="s">
        <v>227</v>
      </c>
      <c r="B2" t="s">
        <v>217</v>
      </c>
      <c r="C2" t="s">
        <v>227</v>
      </c>
    </row>
    <row r="3" spans="1:3" x14ac:dyDescent="0.25">
      <c r="A3" t="s">
        <v>229</v>
      </c>
      <c r="B3" t="s">
        <v>218</v>
      </c>
      <c r="C3" t="s">
        <v>229</v>
      </c>
    </row>
    <row r="4" spans="1:3" x14ac:dyDescent="0.25">
      <c r="A4" t="s">
        <v>231</v>
      </c>
      <c r="B4" t="s">
        <v>219</v>
      </c>
      <c r="C4" t="s">
        <v>231</v>
      </c>
    </row>
    <row r="5" spans="1:3" x14ac:dyDescent="0.25">
      <c r="A5" t="s">
        <v>232</v>
      </c>
      <c r="B5" t="s">
        <v>220</v>
      </c>
      <c r="C5" t="s">
        <v>232</v>
      </c>
    </row>
    <row r="6" spans="1:3" x14ac:dyDescent="0.25">
      <c r="A6" t="s">
        <v>233</v>
      </c>
      <c r="B6" t="s">
        <v>221</v>
      </c>
      <c r="C6" t="s">
        <v>233</v>
      </c>
    </row>
    <row r="7" spans="1:3" x14ac:dyDescent="0.25">
      <c r="A7" t="s">
        <v>230</v>
      </c>
      <c r="B7" t="s">
        <v>222</v>
      </c>
      <c r="C7" t="s">
        <v>230</v>
      </c>
    </row>
    <row r="8" spans="1:3" x14ac:dyDescent="0.25">
      <c r="A8" t="s">
        <v>237</v>
      </c>
      <c r="B8" t="s">
        <v>130</v>
      </c>
      <c r="C8" t="s">
        <v>237</v>
      </c>
    </row>
    <row r="9" spans="1:3" x14ac:dyDescent="0.25">
      <c r="A9" t="s">
        <v>238</v>
      </c>
      <c r="B9" t="s">
        <v>132</v>
      </c>
      <c r="C9" t="s">
        <v>238</v>
      </c>
    </row>
    <row r="10" spans="1:3" x14ac:dyDescent="0.25">
      <c r="A10" t="s">
        <v>239</v>
      </c>
      <c r="B10" t="s">
        <v>134</v>
      </c>
      <c r="C10" t="s">
        <v>239</v>
      </c>
    </row>
    <row r="11" spans="1:3" x14ac:dyDescent="0.25">
      <c r="A11" t="s">
        <v>240</v>
      </c>
      <c r="B11" t="s">
        <v>136</v>
      </c>
      <c r="C11" t="s">
        <v>240</v>
      </c>
    </row>
    <row r="12" spans="1:3" x14ac:dyDescent="0.25">
      <c r="A12" t="s">
        <v>242</v>
      </c>
      <c r="B12" t="s">
        <v>28</v>
      </c>
      <c r="C12" t="s">
        <v>242</v>
      </c>
    </row>
    <row r="13" spans="1:3" x14ac:dyDescent="0.25">
      <c r="A13" t="s">
        <v>228</v>
      </c>
      <c r="B13" t="s">
        <v>223</v>
      </c>
      <c r="C13" t="s">
        <v>228</v>
      </c>
    </row>
    <row r="14" spans="1:3" x14ac:dyDescent="0.25">
      <c r="A14" t="s">
        <v>234</v>
      </c>
      <c r="B14" t="s">
        <v>224</v>
      </c>
      <c r="C14" t="s">
        <v>234</v>
      </c>
    </row>
    <row r="15" spans="1:3" x14ac:dyDescent="0.25">
      <c r="A15" t="s">
        <v>56</v>
      </c>
      <c r="B15" t="s">
        <v>56</v>
      </c>
      <c r="C15" t="s">
        <v>56</v>
      </c>
    </row>
    <row r="16" spans="1:3" x14ac:dyDescent="0.25">
      <c r="A16" t="s">
        <v>241</v>
      </c>
      <c r="B16" t="s">
        <v>94</v>
      </c>
      <c r="C16" t="s">
        <v>241</v>
      </c>
    </row>
    <row r="17" spans="1:3" x14ac:dyDescent="0.25">
      <c r="A17" t="s">
        <v>235</v>
      </c>
      <c r="B17" t="s">
        <v>225</v>
      </c>
      <c r="C17" t="s">
        <v>235</v>
      </c>
    </row>
    <row r="18" spans="1:3" x14ac:dyDescent="0.25">
      <c r="A18" t="s">
        <v>236</v>
      </c>
      <c r="B18" t="s">
        <v>226</v>
      </c>
      <c r="C18" t="s">
        <v>236</v>
      </c>
    </row>
  </sheetData>
  <conditionalFormatting sqref="B2:B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DePara_EEFF - BG</vt:lpstr>
      <vt:lpstr>DePara_EEFF - ER</vt:lpstr>
      <vt:lpstr>DePara_EEFF - Consolidado</vt:lpstr>
      <vt:lpstr>DePara_Carteras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Saldanha</dc:creator>
  <cp:lastModifiedBy>AS</cp:lastModifiedBy>
  <dcterms:created xsi:type="dcterms:W3CDTF">2023-12-28T12:05:26Z</dcterms:created>
  <dcterms:modified xsi:type="dcterms:W3CDTF">2025-02-09T14:20:16Z</dcterms:modified>
</cp:coreProperties>
</file>